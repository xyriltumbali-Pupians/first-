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lint Mohammed\Desktop\"/>
    </mc:Choice>
  </mc:AlternateContent>
  <xr:revisionPtr revIDLastSave="0" documentId="13_ncr:1_{7C058D25-BBDF-4C4D-AAAA-D6E39905F109}" xr6:coauthVersionLast="47" xr6:coauthVersionMax="47" xr10:uidLastSave="{00000000-0000-0000-0000-000000000000}"/>
  <bookViews>
    <workbookView xWindow="-108" yWindow="-108" windowWidth="23256" windowHeight="12456" tabRatio="629" firstSheet="3" activeTab="3" xr2:uid="{1152BBC8-FE8A-4606-A536-BF25A37E7B77}"/>
  </bookViews>
  <sheets>
    <sheet name="DATA 1" sheetId="3" state="hidden" r:id="rId1"/>
    <sheet name="DATA 2" sheetId="20" state="hidden" r:id="rId2"/>
    <sheet name="DATA 3" sheetId="17" state="hidden" r:id="rId3"/>
    <sheet name="GRADE CALCULATOR" sheetId="18" r:id="rId4"/>
  </sheets>
  <externalReferences>
    <externalReference r:id="rId5"/>
  </externalReferences>
  <definedNames>
    <definedName name="equiv" localSheetId="1">'[1]LECTURE (75%)'!$AR$2:$AS$12</definedName>
    <definedName name="equiv">'DATA 1'!$AR$2:$AS$12</definedName>
    <definedName name="FINPT" localSheetId="1">'[1]LECTURE (75%)'!$N$17:$U$17,'[1]LECTURE (75%)'!$AG$17:$AN$17</definedName>
    <definedName name="FINPT">'DATA 1'!$N$17:$U$17,'DATA 1'!$AG$17:$AN$17</definedName>
    <definedName name="FINWW" localSheetId="1">'[1]LECTURE (75%)'!$F$17:$M$17,'[1]LECTURE (75%)'!$Y$17:$AF$17</definedName>
    <definedName name="FINWW">'DATA 1'!$F$17:$M$17,'DATA 1'!$Y$17:$AF$17</definedName>
    <definedName name="FPT" localSheetId="1">'[1]LECTURE (75%)'!$AG$17:$AN$17</definedName>
    <definedName name="FPT">'DATA 1'!$AG$17:$AN$17</definedName>
    <definedName name="FR" localSheetId="1">'[1]LECTURE (75%)'!$AO$17</definedName>
    <definedName name="FR">'DATA 1'!$AO$17</definedName>
    <definedName name="FWW" localSheetId="1">'[1]LECTURE (75%)'!$Y$17:$AF$17</definedName>
    <definedName name="FWW">'DATA 1'!$Y$17:$AF$17</definedName>
    <definedName name="MTPT" localSheetId="1">'[1]LECTURE (75%)'!$N$17:$U$17</definedName>
    <definedName name="MTPT">'DATA 1'!$N$17:$U$17</definedName>
    <definedName name="MTR">'DATA 1'!$V$17</definedName>
    <definedName name="MTWW" localSheetId="1">'[1]LECTURE (75%)'!$F$17:$M$17</definedName>
    <definedName name="MTWW">'DATA 1'!$F$17:$M$17</definedName>
    <definedName name="PG">'DATA 1'!$AO$11</definedName>
    <definedName name="_xlnm.Print_Area" localSheetId="0">'DATA 1'!$A$1:$AT$18</definedName>
    <definedName name="REMARKS" localSheetId="1">'[1]LECTURE (75%)'!$AT$2:$AT$12</definedName>
    <definedName name="REMARKS">'DATA 1'!$AT$2:$AT$12</definedName>
    <definedName name="ter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20" l="1"/>
  <c r="E4" i="20"/>
  <c r="K18" i="3" l="1"/>
  <c r="Q18" i="3"/>
  <c r="P18" i="3"/>
  <c r="O18" i="3"/>
  <c r="N18" i="3"/>
  <c r="V18" i="3"/>
  <c r="Y18" i="3" l="1"/>
  <c r="AG18" i="3"/>
  <c r="AH18" i="3"/>
  <c r="AO18" i="3"/>
  <c r="J18" i="3"/>
  <c r="I18" i="3"/>
  <c r="H18" i="3"/>
  <c r="G18" i="3"/>
  <c r="F18" i="3"/>
  <c r="W18" i="3" l="1"/>
  <c r="C4" i="20" s="1"/>
  <c r="D4" i="20" l="1"/>
  <c r="F4" i="20" s="1"/>
  <c r="G4" i="20" s="1"/>
  <c r="C4" i="17" s="1"/>
  <c r="J11" i="18" s="1"/>
  <c r="AQ18" i="3"/>
  <c r="I4" i="20" s="1"/>
  <c r="J4" i="20" l="1"/>
  <c r="L4" i="20" s="1"/>
  <c r="M4" i="20" s="1"/>
  <c r="D4" i="17" s="1"/>
  <c r="J16" i="18" s="1"/>
  <c r="AM10" i="3"/>
  <c r="AO10" i="3"/>
  <c r="AR18" i="3" l="1"/>
  <c r="X18" i="3"/>
  <c r="E4" i="17" l="1"/>
  <c r="K19" i="18" s="1"/>
</calcChain>
</file>

<file path=xl/sharedStrings.xml><?xml version="1.0" encoding="utf-8"?>
<sst xmlns="http://schemas.openxmlformats.org/spreadsheetml/2006/main" count="100" uniqueCount="77">
  <si>
    <t>Department</t>
  </si>
  <si>
    <t>Faculty Name</t>
  </si>
  <si>
    <t>Student Number</t>
  </si>
  <si>
    <t>Course</t>
  </si>
  <si>
    <t>Midterm Grade</t>
  </si>
  <si>
    <t>MTR</t>
  </si>
  <si>
    <t>BONUS</t>
  </si>
  <si>
    <t>Written Work</t>
  </si>
  <si>
    <t xml:space="preserve">Performance Task </t>
  </si>
  <si>
    <t>MIDTERM PERIOD</t>
  </si>
  <si>
    <t>%</t>
  </si>
  <si>
    <t>Equiv</t>
  </si>
  <si>
    <t>FR</t>
  </si>
  <si>
    <t>FINAL PERIOD</t>
  </si>
  <si>
    <t>Final Grade</t>
  </si>
  <si>
    <t>Remarks</t>
  </si>
  <si>
    <t>WW</t>
  </si>
  <si>
    <t>PT</t>
  </si>
  <si>
    <t>MT</t>
  </si>
  <si>
    <t>FIN</t>
  </si>
  <si>
    <t>Total</t>
  </si>
  <si>
    <t>PASSING GRADE</t>
  </si>
  <si>
    <t>GRADE ALLOCATION</t>
  </si>
  <si>
    <t>PASSED</t>
  </si>
  <si>
    <t>REPEAT</t>
  </si>
  <si>
    <t>INC - PERFORMANCE TASK</t>
  </si>
  <si>
    <t>INC - MAJOR REQUIREMENT</t>
  </si>
  <si>
    <t>INC - WRITTEN WORK</t>
  </si>
  <si>
    <t>INC - PT/WW</t>
  </si>
  <si>
    <t>0.0 - EXCESSIVE ABSENCES</t>
  </si>
  <si>
    <t>0.0 - CHEATING/PLAGIARISM</t>
  </si>
  <si>
    <t>DROPPED</t>
  </si>
  <si>
    <t>DROPPED / PULLED-OUT</t>
  </si>
  <si>
    <t>N/A</t>
  </si>
  <si>
    <t>East</t>
  </si>
  <si>
    <t>E1</t>
  </si>
  <si>
    <t>Hi</t>
  </si>
  <si>
    <t>E1 Bons</t>
  </si>
  <si>
    <t>E2</t>
  </si>
  <si>
    <t>E2 Bons</t>
  </si>
  <si>
    <t>ME Bons</t>
  </si>
  <si>
    <t>LECTURE (75%)</t>
  </si>
  <si>
    <t>MIDTERM</t>
  </si>
  <si>
    <t>FINAL TERM GRADE</t>
  </si>
  <si>
    <t>FINALS</t>
  </si>
  <si>
    <t>FT</t>
  </si>
  <si>
    <t>FINAL GRADE</t>
  </si>
  <si>
    <t>WRITTEN WORK (30%)</t>
  </si>
  <si>
    <t>MAJOR ASSESSMENT (30%)</t>
  </si>
  <si>
    <t>PERFORMANCE TASK (40%)</t>
  </si>
  <si>
    <t>Midterm Exam Reward</t>
  </si>
  <si>
    <t>MIDTERM EXAM</t>
  </si>
  <si>
    <t>Easter Egg</t>
  </si>
  <si>
    <t>MAX SCORE</t>
  </si>
  <si>
    <t>YOUR SCORE</t>
  </si>
  <si>
    <t>EXAM 1</t>
  </si>
  <si>
    <t>EXAM 1 Reward</t>
  </si>
  <si>
    <t>EXAM 2</t>
  </si>
  <si>
    <t>EXAM 2 Reward</t>
  </si>
  <si>
    <t>Highest in the Exam Reward</t>
  </si>
  <si>
    <t>MIDTERM GRADE</t>
  </si>
  <si>
    <t>CHEMISTRY FOR ENGINEERS GRADE</t>
  </si>
  <si>
    <t>Departmental Exam Bonus</t>
  </si>
  <si>
    <t>CO2 Sensor</t>
  </si>
  <si>
    <t>CO2 Sensor Bonus</t>
  </si>
  <si>
    <t>Dept</t>
  </si>
  <si>
    <t>CO2</t>
  </si>
  <si>
    <t>CO2 Bon</t>
  </si>
  <si>
    <t>NAME</t>
  </si>
  <si>
    <t>LEC</t>
  </si>
  <si>
    <t>75% OF LEC</t>
  </si>
  <si>
    <t>LAB (25%)</t>
  </si>
  <si>
    <t>MIDTERM EQUIVALENT</t>
  </si>
  <si>
    <t>FINALS GRADE</t>
  </si>
  <si>
    <t>FINALS EQUIVALENT</t>
  </si>
  <si>
    <t>MIDTERM LABORATORY GRADE (25%)</t>
  </si>
  <si>
    <t>FINALS LABORATORY GRADE (25%)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</si>
</sst>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i/>
      <sz val="10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sz val="9"/>
      <color theme="1"/>
      <name val="Calibri Light"/>
      <family val="2"/>
      <scheme val="major"/>
    </font>
    <font>
      <b/>
      <i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Calibri Light"/>
      <family val="2"/>
      <scheme val="maj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2" tint="-0.499984740745262"/>
      <name val="Arial"/>
      <family val="2"/>
    </font>
    <font>
      <b/>
      <sz val="16"/>
      <color theme="1"/>
      <name val="Arial"/>
      <family val="2"/>
    </font>
    <font>
      <b/>
      <sz val="2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i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slantDashDot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slantDashDot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 style="medium">
        <color indexed="64"/>
      </top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slantDashDot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6">
    <xf numFmtId="0" fontId="0" fillId="0" borderId="0" xfId="0"/>
    <xf numFmtId="0" fontId="0" fillId="0" borderId="0" xfId="0" applyProtection="1">
      <protection hidden="1"/>
    </xf>
    <xf numFmtId="0" fontId="17" fillId="3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18" fillId="6" borderId="39" xfId="0" applyFont="1" applyFill="1" applyBorder="1" applyAlignment="1" applyProtection="1">
      <alignment horizontal="center" vertical="center"/>
      <protection hidden="1"/>
    </xf>
    <xf numFmtId="0" fontId="18" fillId="6" borderId="27" xfId="0" applyFont="1" applyFill="1" applyBorder="1" applyAlignment="1" applyProtection="1">
      <alignment horizontal="center" vertical="center" wrapText="1"/>
      <protection hidden="1"/>
    </xf>
    <xf numFmtId="0" fontId="18" fillId="6" borderId="27" xfId="0" applyFont="1" applyFill="1" applyBorder="1" applyAlignment="1" applyProtection="1">
      <alignment horizontal="center" vertical="center"/>
      <protection hidden="1"/>
    </xf>
    <xf numFmtId="0" fontId="18" fillId="5" borderId="39" xfId="0" applyFont="1" applyFill="1" applyBorder="1" applyAlignment="1" applyProtection="1">
      <alignment horizontal="center" vertical="center" wrapText="1"/>
      <protection hidden="1"/>
    </xf>
    <xf numFmtId="0" fontId="18" fillId="5" borderId="27" xfId="0" applyFont="1" applyFill="1" applyBorder="1" applyAlignment="1" applyProtection="1">
      <alignment horizontal="center" vertical="center" wrapText="1"/>
      <protection hidden="1"/>
    </xf>
    <xf numFmtId="0" fontId="17" fillId="7" borderId="33" xfId="0" applyFont="1" applyFill="1" applyBorder="1" applyAlignment="1" applyProtection="1">
      <alignment vertical="center"/>
      <protection hidden="1"/>
    </xf>
    <xf numFmtId="0" fontId="19" fillId="6" borderId="39" xfId="0" applyFont="1" applyFill="1" applyBorder="1" applyAlignment="1" applyProtection="1">
      <alignment horizontal="center" vertical="center"/>
      <protection hidden="1"/>
    </xf>
    <xf numFmtId="0" fontId="20" fillId="6" borderId="27" xfId="0" applyFont="1" applyFill="1" applyBorder="1" applyAlignment="1" applyProtection="1">
      <alignment horizontal="center" vertical="center"/>
      <protection hidden="1"/>
    </xf>
    <xf numFmtId="0" fontId="19" fillId="6" borderId="27" xfId="0" applyFont="1" applyFill="1" applyBorder="1" applyAlignment="1" applyProtection="1">
      <alignment horizontal="center" vertical="center"/>
      <protection hidden="1"/>
    </xf>
    <xf numFmtId="0" fontId="19" fillId="3" borderId="1" xfId="0" applyFont="1" applyFill="1" applyBorder="1" applyAlignment="1" applyProtection="1">
      <alignment horizontal="center" vertical="center"/>
      <protection hidden="1"/>
    </xf>
    <xf numFmtId="0" fontId="20" fillId="5" borderId="39" xfId="0" applyFont="1" applyFill="1" applyBorder="1" applyAlignment="1" applyProtection="1">
      <alignment horizontal="center" vertical="center"/>
      <protection hidden="1"/>
    </xf>
    <xf numFmtId="0" fontId="20" fillId="5" borderId="27" xfId="0" applyFont="1" applyFill="1" applyBorder="1" applyAlignment="1" applyProtection="1">
      <alignment horizontal="center" vertical="center"/>
      <protection hidden="1"/>
    </xf>
    <xf numFmtId="0" fontId="19" fillId="5" borderId="27" xfId="0" applyFont="1" applyFill="1" applyBorder="1" applyAlignment="1" applyProtection="1">
      <alignment horizontal="center" vertical="center"/>
      <protection hidden="1"/>
    </xf>
    <xf numFmtId="0" fontId="17" fillId="4" borderId="7" xfId="0" applyFont="1" applyFill="1" applyBorder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18" fillId="5" borderId="40" xfId="0" applyFont="1" applyFill="1" applyBorder="1" applyAlignment="1" applyProtection="1">
      <alignment horizontal="center" vertical="center" wrapText="1"/>
      <protection hidden="1"/>
    </xf>
    <xf numFmtId="0" fontId="17" fillId="4" borderId="1" xfId="0" applyFont="1" applyFill="1" applyBorder="1" applyAlignment="1" applyProtection="1">
      <alignment horizontal="left" vertical="center"/>
      <protection hidden="1"/>
    </xf>
    <xf numFmtId="0" fontId="27" fillId="0" borderId="0" xfId="0" applyFont="1" applyProtection="1">
      <protection hidden="1"/>
    </xf>
    <xf numFmtId="0" fontId="19" fillId="5" borderId="40" xfId="0" applyFont="1" applyFill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center"/>
      <protection hidden="1"/>
    </xf>
    <xf numFmtId="0" fontId="25" fillId="8" borderId="39" xfId="0" applyFont="1" applyFill="1" applyBorder="1" applyAlignment="1" applyProtection="1">
      <alignment horizontal="center" vertical="center" wrapText="1"/>
      <protection hidden="1"/>
    </xf>
    <xf numFmtId="0" fontId="25" fillId="8" borderId="40" xfId="0" applyFont="1" applyFill="1" applyBorder="1" applyAlignment="1" applyProtection="1">
      <alignment horizontal="center" vertical="center" wrapText="1"/>
      <protection hidden="1"/>
    </xf>
    <xf numFmtId="2" fontId="26" fillId="0" borderId="39" xfId="0" applyNumberFormat="1" applyFont="1" applyBorder="1" applyAlignment="1" applyProtection="1">
      <alignment horizontal="center" vertical="center"/>
      <protection hidden="1"/>
    </xf>
    <xf numFmtId="2" fontId="26" fillId="0" borderId="40" xfId="0" applyNumberFormat="1" applyFont="1" applyBorder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 vertical="center" wrapText="1"/>
      <protection hidden="1"/>
    </xf>
    <xf numFmtId="0" fontId="29" fillId="0" borderId="8" xfId="0" applyFont="1" applyBorder="1" applyAlignment="1" applyProtection="1">
      <alignment horizontal="center" vertical="center" wrapText="1"/>
      <protection hidden="1"/>
    </xf>
    <xf numFmtId="0" fontId="25" fillId="9" borderId="33" xfId="0" applyFont="1" applyFill="1" applyBorder="1" applyAlignment="1" applyProtection="1">
      <alignment horizontal="center" vertical="center" wrapText="1"/>
      <protection hidden="1"/>
    </xf>
    <xf numFmtId="0" fontId="25" fillId="9" borderId="35" xfId="0" applyFont="1" applyFill="1" applyBorder="1" applyAlignment="1" applyProtection="1">
      <alignment horizontal="center" vertical="center" wrapText="1"/>
      <protection hidden="1"/>
    </xf>
    <xf numFmtId="2" fontId="26" fillId="0" borderId="33" xfId="0" applyNumberFormat="1" applyFont="1" applyBorder="1" applyAlignment="1" applyProtection="1">
      <alignment horizontal="center" vertical="center"/>
      <protection hidden="1"/>
    </xf>
    <xf numFmtId="2" fontId="26" fillId="0" borderId="35" xfId="0" applyNumberFormat="1" applyFont="1" applyBorder="1" applyAlignment="1" applyProtection="1">
      <alignment horizontal="center" vertical="center"/>
      <protection hidden="1"/>
    </xf>
    <xf numFmtId="0" fontId="17" fillId="6" borderId="39" xfId="0" applyFont="1" applyFill="1" applyBorder="1" applyAlignment="1" applyProtection="1">
      <alignment horizontal="center" vertical="center"/>
      <protection hidden="1"/>
    </xf>
    <xf numFmtId="0" fontId="17" fillId="6" borderId="27" xfId="0" applyFont="1" applyFill="1" applyBorder="1" applyAlignment="1" applyProtection="1">
      <alignment horizontal="center" vertical="center"/>
      <protection hidden="1"/>
    </xf>
    <xf numFmtId="0" fontId="17" fillId="5" borderId="33" xfId="0" applyFont="1" applyFill="1" applyBorder="1" applyAlignment="1" applyProtection="1">
      <alignment horizontal="center" vertical="center"/>
      <protection hidden="1"/>
    </xf>
    <xf numFmtId="0" fontId="17" fillId="5" borderId="34" xfId="0" applyFont="1" applyFill="1" applyBorder="1" applyAlignment="1" applyProtection="1">
      <alignment horizontal="center" vertical="center"/>
      <protection hidden="1"/>
    </xf>
    <xf numFmtId="0" fontId="17" fillId="5" borderId="35" xfId="0" applyFont="1" applyFill="1" applyBorder="1" applyAlignment="1" applyProtection="1">
      <alignment horizontal="center" vertical="center"/>
      <protection hidden="1"/>
    </xf>
    <xf numFmtId="0" fontId="5" fillId="10" borderId="0" xfId="0" applyFont="1" applyFill="1" applyProtection="1">
      <protection hidden="1"/>
    </xf>
    <xf numFmtId="0" fontId="5" fillId="10" borderId="0" xfId="0" applyFont="1" applyFill="1" applyAlignment="1" applyProtection="1">
      <alignment vertical="center"/>
      <protection hidden="1"/>
    </xf>
    <xf numFmtId="0" fontId="10" fillId="10" borderId="2" xfId="0" applyFont="1" applyFill="1" applyBorder="1" applyAlignment="1" applyProtection="1">
      <alignment horizontal="center" vertical="center"/>
      <protection hidden="1"/>
    </xf>
    <xf numFmtId="0" fontId="10" fillId="10" borderId="3" xfId="0" applyFont="1" applyFill="1" applyBorder="1" applyAlignment="1" applyProtection="1">
      <alignment horizontal="center" vertical="center"/>
      <protection hidden="1"/>
    </xf>
    <xf numFmtId="0" fontId="10" fillId="10" borderId="4" xfId="0" applyFont="1" applyFill="1" applyBorder="1" applyAlignment="1" applyProtection="1">
      <alignment horizontal="center" vertical="center"/>
      <protection hidden="1"/>
    </xf>
    <xf numFmtId="0" fontId="5" fillId="10" borderId="1" xfId="0" applyFont="1" applyFill="1" applyBorder="1" applyAlignment="1" applyProtection="1">
      <alignment horizontal="center" vertical="center"/>
      <protection hidden="1"/>
    </xf>
    <xf numFmtId="0" fontId="5" fillId="10" borderId="35" xfId="0" applyFont="1" applyFill="1" applyBorder="1" applyAlignment="1" applyProtection="1">
      <alignment horizontal="center" vertical="center"/>
      <protection hidden="1"/>
    </xf>
    <xf numFmtId="0" fontId="10" fillId="10" borderId="5" xfId="0" applyFont="1" applyFill="1" applyBorder="1" applyAlignment="1" applyProtection="1">
      <alignment horizontal="center" vertical="center"/>
      <protection hidden="1"/>
    </xf>
    <xf numFmtId="0" fontId="10" fillId="10" borderId="0" xfId="0" applyFont="1" applyFill="1" applyAlignment="1" applyProtection="1">
      <alignment horizontal="center" vertical="center"/>
      <protection hidden="1"/>
    </xf>
    <xf numFmtId="0" fontId="10" fillId="10" borderId="6" xfId="0" applyFont="1" applyFill="1" applyBorder="1" applyAlignment="1" applyProtection="1">
      <alignment horizontal="center" vertical="center"/>
      <protection hidden="1"/>
    </xf>
    <xf numFmtId="0" fontId="5" fillId="10" borderId="31" xfId="0" applyFont="1" applyFill="1" applyBorder="1" applyAlignment="1" applyProtection="1">
      <alignment horizontal="center" vertical="center"/>
      <protection hidden="1"/>
    </xf>
    <xf numFmtId="2" fontId="5" fillId="10" borderId="29" xfId="0" applyNumberFormat="1" applyFont="1" applyFill="1" applyBorder="1" applyAlignment="1" applyProtection="1">
      <alignment horizontal="center" vertical="center"/>
      <protection hidden="1"/>
    </xf>
    <xf numFmtId="0" fontId="10" fillId="10" borderId="7" xfId="0" applyFont="1" applyFill="1" applyBorder="1" applyAlignment="1" applyProtection="1">
      <alignment horizontal="center" vertical="center"/>
      <protection hidden="1"/>
    </xf>
    <xf numFmtId="0" fontId="10" fillId="10" borderId="8" xfId="0" applyFont="1" applyFill="1" applyBorder="1" applyAlignment="1" applyProtection="1">
      <alignment horizontal="center" vertical="center"/>
      <protection hidden="1"/>
    </xf>
    <xf numFmtId="0" fontId="10" fillId="10" borderId="9" xfId="0" applyFont="1" applyFill="1" applyBorder="1" applyAlignment="1" applyProtection="1">
      <alignment horizontal="center" vertical="center"/>
      <protection hidden="1"/>
    </xf>
    <xf numFmtId="0" fontId="5" fillId="10" borderId="56" xfId="0" applyFont="1" applyFill="1" applyBorder="1" applyAlignment="1" applyProtection="1">
      <alignment horizontal="center" vertical="center"/>
      <protection hidden="1"/>
    </xf>
    <xf numFmtId="2" fontId="5" fillId="10" borderId="57" xfId="0" applyNumberFormat="1" applyFont="1" applyFill="1" applyBorder="1" applyAlignment="1" applyProtection="1">
      <alignment horizontal="center" vertical="center"/>
      <protection hidden="1"/>
    </xf>
    <xf numFmtId="0" fontId="8" fillId="10" borderId="0" xfId="0" applyFont="1" applyFill="1" applyAlignment="1" applyProtection="1">
      <alignment horizontal="right" vertical="center"/>
      <protection hidden="1"/>
    </xf>
    <xf numFmtId="0" fontId="8" fillId="10" borderId="0" xfId="0" applyFont="1" applyFill="1" applyAlignment="1" applyProtection="1">
      <alignment horizontal="right" vertical="center"/>
      <protection hidden="1"/>
    </xf>
    <xf numFmtId="0" fontId="4" fillId="10" borderId="10" xfId="0" applyFont="1" applyFill="1" applyBorder="1" applyAlignment="1" applyProtection="1">
      <alignment horizontal="center" vertical="center" shrinkToFit="1"/>
      <protection hidden="1"/>
    </xf>
    <xf numFmtId="0" fontId="4" fillId="10" borderId="0" xfId="0" applyFont="1" applyFill="1" applyAlignment="1" applyProtection="1">
      <alignment horizontal="center" vertical="center" shrinkToFit="1"/>
      <protection hidden="1"/>
    </xf>
    <xf numFmtId="0" fontId="5" fillId="10" borderId="1" xfId="0" applyFont="1" applyFill="1" applyBorder="1" applyProtection="1">
      <protection hidden="1"/>
    </xf>
    <xf numFmtId="0" fontId="10" fillId="10" borderId="33" xfId="0" applyFont="1" applyFill="1" applyBorder="1" applyAlignment="1" applyProtection="1">
      <alignment horizontal="center" vertical="center"/>
      <protection hidden="1"/>
    </xf>
    <xf numFmtId="0" fontId="10" fillId="10" borderId="35" xfId="0" applyFont="1" applyFill="1" applyBorder="1" applyAlignment="1" applyProtection="1">
      <alignment horizontal="center" vertical="center"/>
      <protection hidden="1"/>
    </xf>
    <xf numFmtId="0" fontId="5" fillId="10" borderId="57" xfId="0" applyFont="1" applyFill="1" applyBorder="1" applyAlignment="1" applyProtection="1">
      <alignment horizontal="center" vertical="center"/>
      <protection hidden="1"/>
    </xf>
    <xf numFmtId="0" fontId="4" fillId="10" borderId="11" xfId="0" applyFont="1" applyFill="1" applyBorder="1" applyAlignment="1" applyProtection="1">
      <alignment horizontal="center" vertical="center" shrinkToFit="1"/>
      <protection hidden="1"/>
    </xf>
    <xf numFmtId="0" fontId="9" fillId="10" borderId="0" xfId="0" applyFont="1" applyFill="1" applyAlignment="1" applyProtection="1">
      <alignment horizontal="center" vertical="top"/>
      <protection hidden="1"/>
    </xf>
    <xf numFmtId="0" fontId="7" fillId="10" borderId="31" xfId="0" applyFont="1" applyFill="1" applyBorder="1" applyAlignment="1" applyProtection="1">
      <alignment horizontal="center" vertical="center"/>
      <protection hidden="1"/>
    </xf>
    <xf numFmtId="0" fontId="5" fillId="10" borderId="30" xfId="1" applyNumberFormat="1" applyFont="1" applyFill="1" applyBorder="1" applyAlignment="1" applyProtection="1">
      <alignment horizontal="center" vertical="center"/>
      <protection hidden="1"/>
    </xf>
    <xf numFmtId="0" fontId="5" fillId="10" borderId="29" xfId="1" applyNumberFormat="1" applyFont="1" applyFill="1" applyBorder="1" applyAlignment="1" applyProtection="1">
      <alignment horizontal="center" vertical="center"/>
      <protection hidden="1"/>
    </xf>
    <xf numFmtId="0" fontId="5" fillId="10" borderId="45" xfId="0" applyFont="1" applyFill="1" applyBorder="1" applyAlignment="1" applyProtection="1">
      <alignment horizontal="center" vertical="center"/>
      <protection hidden="1"/>
    </xf>
    <xf numFmtId="2" fontId="5" fillId="10" borderId="50" xfId="0" applyNumberFormat="1" applyFont="1" applyFill="1" applyBorder="1" applyAlignment="1" applyProtection="1">
      <alignment horizontal="center" vertical="center"/>
      <protection hidden="1"/>
    </xf>
    <xf numFmtId="0" fontId="7" fillId="10" borderId="45" xfId="0" applyFont="1" applyFill="1" applyBorder="1" applyAlignment="1" applyProtection="1">
      <alignment horizontal="center" vertical="center"/>
      <protection hidden="1"/>
    </xf>
    <xf numFmtId="0" fontId="5" fillId="10" borderId="58" xfId="1" applyNumberFormat="1" applyFont="1" applyFill="1" applyBorder="1" applyAlignment="1" applyProtection="1">
      <alignment horizontal="center" vertical="center"/>
      <protection hidden="1"/>
    </xf>
    <xf numFmtId="0" fontId="5" fillId="10" borderId="50" xfId="1" applyNumberFormat="1" applyFont="1" applyFill="1" applyBorder="1" applyAlignment="1" applyProtection="1">
      <alignment horizontal="center" vertical="center"/>
      <protection hidden="1"/>
    </xf>
    <xf numFmtId="0" fontId="5" fillId="10" borderId="50" xfId="0" applyFont="1" applyFill="1" applyBorder="1" applyAlignment="1" applyProtection="1">
      <alignment horizontal="center" vertical="center"/>
      <protection hidden="1"/>
    </xf>
    <xf numFmtId="0" fontId="7" fillId="10" borderId="46" xfId="0" applyFont="1" applyFill="1" applyBorder="1" applyAlignment="1" applyProtection="1">
      <alignment horizontal="center" vertical="center"/>
      <protection hidden="1"/>
    </xf>
    <xf numFmtId="0" fontId="5" fillId="10" borderId="55" xfId="1" applyNumberFormat="1" applyFont="1" applyFill="1" applyBorder="1" applyAlignment="1" applyProtection="1">
      <alignment horizontal="center" vertical="center"/>
      <protection hidden="1"/>
    </xf>
    <xf numFmtId="0" fontId="5" fillId="10" borderId="54" xfId="1" applyNumberFormat="1" applyFont="1" applyFill="1" applyBorder="1" applyAlignment="1" applyProtection="1">
      <alignment horizontal="center" vertical="center"/>
      <protection hidden="1"/>
    </xf>
    <xf numFmtId="0" fontId="2" fillId="10" borderId="0" xfId="0" applyFont="1" applyFill="1" applyAlignment="1" applyProtection="1">
      <alignment vertical="center"/>
      <protection hidden="1"/>
    </xf>
    <xf numFmtId="0" fontId="3" fillId="10" borderId="10" xfId="0" applyFont="1" applyFill="1" applyBorder="1" applyAlignment="1" applyProtection="1">
      <alignment horizontal="center" vertical="center" shrinkToFit="1"/>
      <protection hidden="1"/>
    </xf>
    <xf numFmtId="164" fontId="4" fillId="10" borderId="10" xfId="0" applyNumberFormat="1" applyFont="1" applyFill="1" applyBorder="1" applyAlignment="1" applyProtection="1">
      <alignment horizontal="center" vertical="center" shrinkToFit="1"/>
      <protection hidden="1"/>
    </xf>
    <xf numFmtId="164" fontId="4" fillId="10" borderId="0" xfId="0" applyNumberFormat="1" applyFont="1" applyFill="1" applyAlignment="1" applyProtection="1">
      <alignment horizontal="center" vertical="center" shrinkToFit="1"/>
      <protection hidden="1"/>
    </xf>
    <xf numFmtId="0" fontId="7" fillId="10" borderId="32" xfId="0" applyFont="1" applyFill="1" applyBorder="1" applyAlignment="1" applyProtection="1">
      <alignment horizontal="center" vertical="center"/>
      <protection hidden="1"/>
    </xf>
    <xf numFmtId="0" fontId="5" fillId="10" borderId="7" xfId="1" applyNumberFormat="1" applyFont="1" applyFill="1" applyBorder="1" applyAlignment="1" applyProtection="1">
      <alignment horizontal="center" vertical="center"/>
      <protection hidden="1"/>
    </xf>
    <xf numFmtId="0" fontId="5" fillId="10" borderId="9" xfId="1" applyNumberFormat="1" applyFont="1" applyFill="1" applyBorder="1" applyAlignment="1" applyProtection="1">
      <alignment horizontal="center" vertical="center"/>
      <protection hidden="1"/>
    </xf>
    <xf numFmtId="0" fontId="3" fillId="10" borderId="11" xfId="0" applyFont="1" applyFill="1" applyBorder="1" applyAlignment="1" applyProtection="1">
      <alignment horizontal="center" vertical="center" shrinkToFit="1"/>
      <protection hidden="1"/>
    </xf>
    <xf numFmtId="0" fontId="5" fillId="10" borderId="7" xfId="0" applyFont="1" applyFill="1" applyBorder="1" applyAlignment="1" applyProtection="1">
      <alignment horizontal="center" vertical="center"/>
      <protection hidden="1"/>
    </xf>
    <xf numFmtId="0" fontId="5" fillId="10" borderId="8" xfId="0" applyFont="1" applyFill="1" applyBorder="1" applyAlignment="1" applyProtection="1">
      <alignment horizontal="center" vertical="center"/>
      <protection hidden="1"/>
    </xf>
    <xf numFmtId="1" fontId="5" fillId="10" borderId="23" xfId="1" applyNumberFormat="1" applyFont="1" applyFill="1" applyBorder="1" applyAlignment="1" applyProtection="1">
      <alignment horizontal="center" vertical="center"/>
      <protection hidden="1"/>
    </xf>
    <xf numFmtId="1" fontId="5" fillId="10" borderId="24" xfId="1" applyNumberFormat="1" applyFont="1" applyFill="1" applyBorder="1" applyAlignment="1" applyProtection="1">
      <alignment horizontal="center" vertical="center"/>
      <protection hidden="1"/>
    </xf>
    <xf numFmtId="0" fontId="5" fillId="10" borderId="46" xfId="0" applyFont="1" applyFill="1" applyBorder="1" applyAlignment="1" applyProtection="1">
      <alignment horizontal="center" vertical="center"/>
      <protection hidden="1"/>
    </xf>
    <xf numFmtId="2" fontId="5" fillId="10" borderId="54" xfId="0" applyNumberFormat="1" applyFont="1" applyFill="1" applyBorder="1" applyAlignment="1" applyProtection="1">
      <alignment horizontal="center" vertical="center"/>
      <protection hidden="1"/>
    </xf>
    <xf numFmtId="0" fontId="7" fillId="10" borderId="36" xfId="0" applyFont="1" applyFill="1" applyBorder="1" applyAlignment="1" applyProtection="1">
      <alignment horizontal="center" vertical="center"/>
      <protection hidden="1"/>
    </xf>
    <xf numFmtId="0" fontId="8" fillId="10" borderId="36" xfId="0" applyFont="1" applyFill="1" applyBorder="1" applyAlignment="1" applyProtection="1">
      <alignment horizontal="center" vertical="center" wrapText="1"/>
      <protection hidden="1"/>
    </xf>
    <xf numFmtId="0" fontId="13" fillId="10" borderId="36" xfId="0" applyFont="1" applyFill="1" applyBorder="1" applyAlignment="1" applyProtection="1">
      <alignment horizontal="center" vertical="center"/>
      <protection hidden="1"/>
    </xf>
    <xf numFmtId="0" fontId="8" fillId="10" borderId="36" xfId="0" applyFont="1" applyFill="1" applyBorder="1" applyAlignment="1" applyProtection="1">
      <alignment horizontal="center" vertical="center"/>
      <protection hidden="1"/>
    </xf>
    <xf numFmtId="0" fontId="12" fillId="10" borderId="39" xfId="0" applyFont="1" applyFill="1" applyBorder="1" applyAlignment="1" applyProtection="1">
      <alignment horizontal="center" vertical="center"/>
      <protection hidden="1"/>
    </xf>
    <xf numFmtId="0" fontId="12" fillId="10" borderId="27" xfId="0" applyFont="1" applyFill="1" applyBorder="1" applyAlignment="1" applyProtection="1">
      <alignment horizontal="center" vertical="center"/>
      <protection hidden="1"/>
    </xf>
    <xf numFmtId="0" fontId="12" fillId="10" borderId="40" xfId="0" applyFont="1" applyFill="1" applyBorder="1" applyAlignment="1" applyProtection="1">
      <alignment horizontal="center" vertical="center"/>
      <protection hidden="1"/>
    </xf>
    <xf numFmtId="0" fontId="13" fillId="10" borderId="39" xfId="0" applyFont="1" applyFill="1" applyBorder="1" applyAlignment="1" applyProtection="1">
      <alignment horizontal="center" vertical="center"/>
      <protection hidden="1"/>
    </xf>
    <xf numFmtId="0" fontId="13" fillId="10" borderId="42" xfId="0" applyFont="1" applyFill="1" applyBorder="1" applyAlignment="1" applyProtection="1">
      <alignment horizontal="center" vertical="center"/>
      <protection hidden="1"/>
    </xf>
    <xf numFmtId="0" fontId="13" fillId="10" borderId="27" xfId="0" applyFont="1" applyFill="1" applyBorder="1" applyAlignment="1" applyProtection="1">
      <alignment horizontal="center" vertical="center"/>
      <protection hidden="1"/>
    </xf>
    <xf numFmtId="0" fontId="13" fillId="10" borderId="40" xfId="0" applyFont="1" applyFill="1" applyBorder="1" applyAlignment="1" applyProtection="1">
      <alignment horizontal="center" vertical="center"/>
      <protection hidden="1"/>
    </xf>
    <xf numFmtId="0" fontId="8" fillId="10" borderId="13" xfId="0" applyFont="1" applyFill="1" applyBorder="1" applyAlignment="1" applyProtection="1">
      <alignment horizontal="center" vertical="center"/>
      <protection hidden="1"/>
    </xf>
    <xf numFmtId="0" fontId="8" fillId="10" borderId="15" xfId="0" applyFont="1" applyFill="1" applyBorder="1" applyAlignment="1" applyProtection="1">
      <alignment horizontal="center" vertical="center"/>
      <protection hidden="1"/>
    </xf>
    <xf numFmtId="0" fontId="7" fillId="10" borderId="37" xfId="0" applyFont="1" applyFill="1" applyBorder="1" applyAlignment="1" applyProtection="1">
      <alignment horizontal="center" vertical="center"/>
      <protection hidden="1"/>
    </xf>
    <xf numFmtId="0" fontId="8" fillId="10" borderId="37" xfId="0" applyFont="1" applyFill="1" applyBorder="1" applyAlignment="1" applyProtection="1">
      <alignment horizontal="center" vertical="center" wrapText="1"/>
      <protection hidden="1"/>
    </xf>
    <xf numFmtId="0" fontId="13" fillId="10" borderId="37" xfId="0" applyFont="1" applyFill="1" applyBorder="1" applyAlignment="1" applyProtection="1">
      <alignment horizontal="center" vertical="center"/>
      <protection hidden="1"/>
    </xf>
    <xf numFmtId="0" fontId="8" fillId="10" borderId="37" xfId="0" applyFont="1" applyFill="1" applyBorder="1" applyAlignment="1" applyProtection="1">
      <alignment horizontal="center" vertical="center"/>
      <protection hidden="1"/>
    </xf>
    <xf numFmtId="0" fontId="12" fillId="10" borderId="43" xfId="0" applyFont="1" applyFill="1" applyBorder="1" applyAlignment="1" applyProtection="1">
      <alignment horizontal="center" vertical="center"/>
      <protection hidden="1"/>
    </xf>
    <xf numFmtId="0" fontId="12" fillId="10" borderId="49" xfId="0" applyFont="1" applyFill="1" applyBorder="1" applyAlignment="1" applyProtection="1">
      <alignment horizontal="center" vertical="center"/>
      <protection hidden="1"/>
    </xf>
    <xf numFmtId="0" fontId="12" fillId="10" borderId="42" xfId="0" applyFont="1" applyFill="1" applyBorder="1" applyAlignment="1" applyProtection="1">
      <alignment horizontal="center" vertical="center"/>
      <protection hidden="1"/>
    </xf>
    <xf numFmtId="0" fontId="11" fillId="10" borderId="59" xfId="0" applyFont="1" applyFill="1" applyBorder="1" applyAlignment="1" applyProtection="1">
      <alignment horizontal="center" vertical="center"/>
      <protection hidden="1"/>
    </xf>
    <xf numFmtId="0" fontId="11" fillId="10" borderId="28" xfId="0" applyFont="1" applyFill="1" applyBorder="1" applyAlignment="1" applyProtection="1">
      <alignment horizontal="center" vertical="center" wrapText="1"/>
      <protection hidden="1"/>
    </xf>
    <xf numFmtId="0" fontId="11" fillId="10" borderId="15" xfId="0" applyFont="1" applyFill="1" applyBorder="1" applyAlignment="1" applyProtection="1">
      <alignment horizontal="center" vertical="center" wrapText="1"/>
      <protection hidden="1"/>
    </xf>
    <xf numFmtId="0" fontId="13" fillId="10" borderId="49" xfId="0" applyFont="1" applyFill="1" applyBorder="1" applyAlignment="1" applyProtection="1">
      <alignment horizontal="center" vertical="center"/>
      <protection hidden="1"/>
    </xf>
    <xf numFmtId="0" fontId="6" fillId="10" borderId="51" xfId="0" applyFont="1" applyFill="1" applyBorder="1" applyAlignment="1" applyProtection="1">
      <alignment horizontal="center" vertical="center"/>
      <protection hidden="1"/>
    </xf>
    <xf numFmtId="0" fontId="6" fillId="10" borderId="51" xfId="0" applyFont="1" applyFill="1" applyBorder="1" applyAlignment="1" applyProtection="1">
      <alignment horizontal="center" textRotation="90"/>
      <protection hidden="1"/>
    </xf>
    <xf numFmtId="0" fontId="4" fillId="10" borderId="28" xfId="0" applyFont="1" applyFill="1" applyBorder="1" applyAlignment="1" applyProtection="1">
      <alignment horizontal="center" vertical="center" wrapText="1"/>
      <protection hidden="1"/>
    </xf>
    <xf numFmtId="0" fontId="4" fillId="10" borderId="15" xfId="0" applyFont="1" applyFill="1" applyBorder="1" applyAlignment="1" applyProtection="1">
      <alignment horizontal="center" vertical="center" wrapText="1"/>
      <protection hidden="1"/>
    </xf>
    <xf numFmtId="0" fontId="8" fillId="10" borderId="16" xfId="0" applyFont="1" applyFill="1" applyBorder="1" applyAlignment="1" applyProtection="1">
      <alignment horizontal="center" vertical="center"/>
      <protection hidden="1"/>
    </xf>
    <xf numFmtId="0" fontId="8" fillId="10" borderId="17" xfId="0" applyFont="1" applyFill="1" applyBorder="1" applyAlignment="1" applyProtection="1">
      <alignment horizontal="center" vertical="center"/>
      <protection hidden="1"/>
    </xf>
    <xf numFmtId="0" fontId="11" fillId="10" borderId="13" xfId="0" applyFont="1" applyFill="1" applyBorder="1" applyAlignment="1" applyProtection="1">
      <alignment horizontal="center" vertical="center" shrinkToFit="1"/>
      <protection hidden="1"/>
    </xf>
    <xf numFmtId="0" fontId="11" fillId="10" borderId="14" xfId="0" applyFont="1" applyFill="1" applyBorder="1" applyAlignment="1" applyProtection="1">
      <alignment horizontal="center" vertical="center" shrinkToFit="1"/>
      <protection hidden="1"/>
    </xf>
    <xf numFmtId="0" fontId="11" fillId="10" borderId="26" xfId="0" applyFont="1" applyFill="1" applyBorder="1" applyAlignment="1" applyProtection="1">
      <alignment horizontal="center" vertical="center" shrinkToFit="1"/>
      <protection hidden="1"/>
    </xf>
    <xf numFmtId="0" fontId="11" fillId="10" borderId="47" xfId="0" applyFont="1" applyFill="1" applyBorder="1" applyAlignment="1" applyProtection="1">
      <alignment horizontal="center" vertical="center" shrinkToFit="1"/>
      <protection hidden="1"/>
    </xf>
    <xf numFmtId="0" fontId="11" fillId="10" borderId="28" xfId="0" applyFont="1" applyFill="1" applyBorder="1" applyAlignment="1" applyProtection="1">
      <alignment horizontal="center" vertical="center" shrinkToFit="1"/>
      <protection hidden="1"/>
    </xf>
    <xf numFmtId="0" fontId="0" fillId="10" borderId="26" xfId="0" applyFill="1" applyBorder="1" applyAlignment="1" applyProtection="1">
      <alignment horizontal="center" vertical="center" shrinkToFit="1"/>
      <protection hidden="1"/>
    </xf>
    <xf numFmtId="0" fontId="0" fillId="10" borderId="15" xfId="0" applyFill="1" applyBorder="1" applyAlignment="1" applyProtection="1">
      <alignment horizontal="center" vertical="center" shrinkToFit="1"/>
      <protection hidden="1"/>
    </xf>
    <xf numFmtId="0" fontId="11" fillId="10" borderId="50" xfId="0" applyFont="1" applyFill="1" applyBorder="1" applyAlignment="1" applyProtection="1">
      <alignment horizontal="center" vertical="center"/>
      <protection hidden="1"/>
    </xf>
    <xf numFmtId="0" fontId="11" fillId="10" borderId="38" xfId="0" applyFont="1" applyFill="1" applyBorder="1" applyAlignment="1" applyProtection="1">
      <alignment horizontal="center" vertical="center" wrapText="1"/>
      <protection hidden="1"/>
    </xf>
    <xf numFmtId="0" fontId="11" fillId="10" borderId="17" xfId="0" applyFont="1" applyFill="1" applyBorder="1" applyAlignment="1" applyProtection="1">
      <alignment horizontal="center" vertical="center" wrapText="1"/>
      <protection hidden="1"/>
    </xf>
    <xf numFmtId="0" fontId="4" fillId="10" borderId="21" xfId="0" applyFont="1" applyFill="1" applyBorder="1" applyAlignment="1" applyProtection="1">
      <alignment horizontal="center" vertical="center"/>
      <protection hidden="1"/>
    </xf>
    <xf numFmtId="0" fontId="4" fillId="10" borderId="25" xfId="0" applyFont="1" applyFill="1" applyBorder="1" applyAlignment="1" applyProtection="1">
      <alignment horizontal="center" vertical="center"/>
      <protection hidden="1"/>
    </xf>
    <xf numFmtId="0" fontId="2" fillId="10" borderId="25" xfId="0" applyFont="1" applyFill="1" applyBorder="1" applyAlignment="1" applyProtection="1">
      <alignment horizontal="center" vertical="center"/>
      <protection hidden="1"/>
    </xf>
    <xf numFmtId="0" fontId="2" fillId="10" borderId="22" xfId="0" applyFont="1" applyFill="1" applyBorder="1" applyAlignment="1" applyProtection="1">
      <alignment horizontal="center" vertical="center"/>
      <protection hidden="1"/>
    </xf>
    <xf numFmtId="0" fontId="2" fillId="10" borderId="47" xfId="0" applyFont="1" applyFill="1" applyBorder="1" applyAlignment="1" applyProtection="1">
      <alignment horizontal="center" vertical="center"/>
      <protection hidden="1"/>
    </xf>
    <xf numFmtId="0" fontId="6" fillId="10" borderId="52" xfId="0" applyFont="1" applyFill="1" applyBorder="1" applyAlignment="1" applyProtection="1">
      <alignment horizontal="center" vertical="center"/>
      <protection hidden="1"/>
    </xf>
    <xf numFmtId="0" fontId="6" fillId="10" borderId="52" xfId="0" applyFont="1" applyFill="1" applyBorder="1" applyAlignment="1" applyProtection="1">
      <alignment horizontal="center" textRotation="90"/>
      <protection hidden="1"/>
    </xf>
    <xf numFmtId="0" fontId="4" fillId="10" borderId="38" xfId="0" applyFont="1" applyFill="1" applyBorder="1" applyAlignment="1" applyProtection="1">
      <alignment horizontal="center" vertical="center" wrapText="1"/>
      <protection hidden="1"/>
    </xf>
    <xf numFmtId="0" fontId="4" fillId="10" borderId="17" xfId="0" applyFont="1" applyFill="1" applyBorder="1" applyAlignment="1" applyProtection="1">
      <alignment horizontal="center" vertical="center" wrapText="1"/>
      <protection hidden="1"/>
    </xf>
    <xf numFmtId="0" fontId="7" fillId="10" borderId="32" xfId="0" applyFont="1" applyFill="1" applyBorder="1" applyAlignment="1" applyProtection="1">
      <alignment horizontal="center" vertical="center"/>
      <protection hidden="1"/>
    </xf>
    <xf numFmtId="0" fontId="8" fillId="10" borderId="32" xfId="0" applyFont="1" applyFill="1" applyBorder="1" applyAlignment="1" applyProtection="1">
      <alignment horizontal="center" vertical="center" wrapText="1"/>
      <protection hidden="1"/>
    </xf>
    <xf numFmtId="0" fontId="8" fillId="10" borderId="32" xfId="0" applyFont="1" applyFill="1" applyBorder="1" applyAlignment="1" applyProtection="1">
      <alignment horizontal="center" vertical="center"/>
      <protection hidden="1"/>
    </xf>
    <xf numFmtId="0" fontId="5" fillId="10" borderId="0" xfId="0" applyFont="1" applyFill="1" applyAlignment="1" applyProtection="1">
      <alignment horizontal="center" vertical="center"/>
      <protection hidden="1"/>
    </xf>
    <xf numFmtId="0" fontId="11" fillId="10" borderId="18" xfId="0" applyFont="1" applyFill="1" applyBorder="1" applyAlignment="1" applyProtection="1">
      <alignment horizontal="center" vertical="center" shrinkToFit="1"/>
      <protection hidden="1"/>
    </xf>
    <xf numFmtId="0" fontId="11" fillId="10" borderId="19" xfId="0" applyFont="1" applyFill="1" applyBorder="1" applyAlignment="1" applyProtection="1">
      <alignment horizontal="center" vertical="center" shrinkToFit="1"/>
      <protection hidden="1"/>
    </xf>
    <xf numFmtId="0" fontId="11" fillId="10" borderId="44" xfId="0" applyFont="1" applyFill="1" applyBorder="1" applyAlignment="1" applyProtection="1">
      <alignment horizontal="center" vertical="center" shrinkToFit="1"/>
      <protection hidden="1"/>
    </xf>
    <xf numFmtId="0" fontId="11" fillId="10" borderId="48" xfId="0" applyFont="1" applyFill="1" applyBorder="1" applyAlignment="1" applyProtection="1">
      <alignment horizontal="center" vertical="center" shrinkToFit="1"/>
      <protection hidden="1"/>
    </xf>
    <xf numFmtId="0" fontId="11" fillId="10" borderId="41" xfId="0" applyFont="1" applyFill="1" applyBorder="1" applyAlignment="1" applyProtection="1">
      <alignment horizontal="center" vertical="center" shrinkToFit="1"/>
      <protection hidden="1"/>
    </xf>
    <xf numFmtId="0" fontId="0" fillId="10" borderId="19" xfId="0" applyFill="1" applyBorder="1" applyAlignment="1" applyProtection="1">
      <alignment horizontal="center" vertical="center" shrinkToFit="1"/>
      <protection hidden="1"/>
    </xf>
    <xf numFmtId="0" fontId="0" fillId="10" borderId="44" xfId="0" applyFill="1" applyBorder="1" applyAlignment="1" applyProtection="1">
      <alignment horizontal="center" vertical="center" shrinkToFit="1"/>
      <protection hidden="1"/>
    </xf>
    <xf numFmtId="0" fontId="0" fillId="10" borderId="20" xfId="0" applyFill="1" applyBorder="1" applyAlignment="1" applyProtection="1">
      <alignment horizontal="center" vertical="center" shrinkToFit="1"/>
      <protection hidden="1"/>
    </xf>
    <xf numFmtId="0" fontId="11" fillId="10" borderId="54" xfId="0" applyFont="1" applyFill="1" applyBorder="1" applyAlignment="1" applyProtection="1">
      <alignment horizontal="center" vertical="center"/>
      <protection hidden="1"/>
    </xf>
    <xf numFmtId="0" fontId="11" fillId="10" borderId="41" xfId="0" applyFont="1" applyFill="1" applyBorder="1" applyAlignment="1" applyProtection="1">
      <alignment horizontal="center" vertical="center"/>
      <protection hidden="1"/>
    </xf>
    <xf numFmtId="0" fontId="11" fillId="10" borderId="20" xfId="0" applyFont="1" applyFill="1" applyBorder="1" applyAlignment="1" applyProtection="1">
      <alignment horizontal="center" vertical="center"/>
      <protection hidden="1"/>
    </xf>
    <xf numFmtId="0" fontId="4" fillId="10" borderId="18" xfId="0" applyFont="1" applyFill="1" applyBorder="1" applyAlignment="1" applyProtection="1">
      <alignment horizontal="center" vertical="center"/>
      <protection hidden="1"/>
    </xf>
    <xf numFmtId="0" fontId="4" fillId="10" borderId="41" xfId="0" applyFont="1" applyFill="1" applyBorder="1" applyAlignment="1" applyProtection="1">
      <alignment horizontal="center" vertical="center"/>
      <protection hidden="1"/>
    </xf>
    <xf numFmtId="0" fontId="2" fillId="10" borderId="41" xfId="0" applyFont="1" applyFill="1" applyBorder="1" applyAlignment="1" applyProtection="1">
      <alignment horizontal="center" vertical="center"/>
      <protection hidden="1"/>
    </xf>
    <xf numFmtId="0" fontId="2" fillId="10" borderId="19" xfId="0" applyFont="1" applyFill="1" applyBorder="1" applyAlignment="1" applyProtection="1">
      <alignment horizontal="center" vertical="center"/>
      <protection hidden="1"/>
    </xf>
    <xf numFmtId="0" fontId="4" fillId="10" borderId="19" xfId="0" applyFont="1" applyFill="1" applyBorder="1" applyAlignment="1" applyProtection="1">
      <alignment horizontal="center" vertical="center"/>
      <protection hidden="1"/>
    </xf>
    <xf numFmtId="0" fontId="4" fillId="10" borderId="48" xfId="0" applyFont="1" applyFill="1" applyBorder="1" applyAlignment="1" applyProtection="1">
      <alignment horizontal="center" vertical="center"/>
      <protection hidden="1"/>
    </xf>
    <xf numFmtId="0" fontId="4" fillId="10" borderId="53" xfId="0" applyFont="1" applyFill="1" applyBorder="1" applyAlignment="1" applyProtection="1">
      <alignment horizontal="center" vertical="center"/>
      <protection hidden="1"/>
    </xf>
    <xf numFmtId="0" fontId="6" fillId="10" borderId="53" xfId="0" applyFont="1" applyFill="1" applyBorder="1" applyAlignment="1" applyProtection="1">
      <alignment horizontal="center" textRotation="90"/>
      <protection hidden="1"/>
    </xf>
    <xf numFmtId="0" fontId="5" fillId="10" borderId="41" xfId="0" applyFont="1" applyFill="1" applyBorder="1" applyAlignment="1" applyProtection="1">
      <alignment horizontal="center" vertical="center"/>
      <protection hidden="1"/>
    </xf>
    <xf numFmtId="0" fontId="5" fillId="10" borderId="20" xfId="0" applyFont="1" applyFill="1" applyBorder="1" applyAlignment="1" applyProtection="1">
      <alignment horizontal="center" vertical="center"/>
      <protection hidden="1"/>
    </xf>
    <xf numFmtId="0" fontId="8" fillId="10" borderId="18" xfId="0" applyFont="1" applyFill="1" applyBorder="1" applyAlignment="1" applyProtection="1">
      <alignment horizontal="center" vertical="center"/>
      <protection hidden="1"/>
    </xf>
    <xf numFmtId="0" fontId="8" fillId="10" borderId="20" xfId="0" applyFont="1" applyFill="1" applyBorder="1" applyAlignment="1" applyProtection="1">
      <alignment horizontal="center" vertical="center"/>
      <protection hidden="1"/>
    </xf>
    <xf numFmtId="0" fontId="5" fillId="10" borderId="22" xfId="0" applyFont="1" applyFill="1" applyBorder="1" applyAlignment="1" applyProtection="1">
      <alignment horizontal="center" vertical="center"/>
      <protection hidden="1"/>
    </xf>
    <xf numFmtId="0" fontId="5" fillId="10" borderId="22" xfId="0" applyFont="1" applyFill="1" applyBorder="1" applyAlignment="1" applyProtection="1">
      <alignment horizontal="center" vertical="center" shrinkToFit="1"/>
      <protection hidden="1"/>
    </xf>
    <xf numFmtId="0" fontId="14" fillId="10" borderId="12" xfId="0" applyFont="1" applyFill="1" applyBorder="1" applyAlignment="1" applyProtection="1">
      <alignment horizontal="left" vertical="center"/>
      <protection hidden="1"/>
    </xf>
    <xf numFmtId="0" fontId="5" fillId="10" borderId="60" xfId="0" applyFont="1" applyFill="1" applyBorder="1" applyAlignment="1" applyProtection="1">
      <alignment horizontal="center" vertical="center" shrinkToFit="1"/>
      <protection hidden="1"/>
    </xf>
    <xf numFmtId="0" fontId="5" fillId="10" borderId="0" xfId="0" applyFont="1" applyFill="1" applyAlignment="1" applyProtection="1">
      <alignment horizontal="center" vertical="center" shrinkToFit="1"/>
      <protection hidden="1"/>
    </xf>
    <xf numFmtId="0" fontId="0" fillId="10" borderId="16" xfId="0" applyFill="1" applyBorder="1" applyAlignment="1" applyProtection="1">
      <alignment horizontal="center" vertical="center" shrinkToFit="1"/>
      <protection hidden="1"/>
    </xf>
    <xf numFmtId="0" fontId="0" fillId="10" borderId="22" xfId="0" applyFill="1" applyBorder="1" applyAlignment="1" applyProtection="1">
      <alignment horizontal="center" vertical="center"/>
      <protection hidden="1"/>
    </xf>
    <xf numFmtId="0" fontId="0" fillId="10" borderId="22" xfId="0" applyFill="1" applyBorder="1" applyAlignment="1" applyProtection="1">
      <alignment horizontal="center" vertical="center" shrinkToFit="1"/>
      <protection hidden="1"/>
    </xf>
    <xf numFmtId="0" fontId="0" fillId="10" borderId="61" xfId="0" applyFill="1" applyBorder="1" applyAlignment="1" applyProtection="1">
      <alignment horizontal="center" vertical="center" shrinkToFit="1"/>
      <protection hidden="1"/>
    </xf>
    <xf numFmtId="0" fontId="0" fillId="10" borderId="12" xfId="0" applyFill="1" applyBorder="1" applyAlignment="1" applyProtection="1">
      <alignment horizontal="center" vertical="center" shrinkToFit="1"/>
      <protection hidden="1"/>
    </xf>
    <xf numFmtId="1" fontId="0" fillId="10" borderId="28" xfId="1" applyNumberFormat="1" applyFont="1" applyFill="1" applyBorder="1" applyAlignment="1" applyProtection="1">
      <alignment horizontal="center" vertical="center" wrapText="1" shrinkToFit="1"/>
      <protection hidden="1"/>
    </xf>
    <xf numFmtId="0" fontId="2" fillId="10" borderId="16" xfId="0" applyFont="1" applyFill="1" applyBorder="1" applyAlignment="1" applyProtection="1">
      <alignment horizontal="center" vertical="center" shrinkToFit="1"/>
      <protection hidden="1"/>
    </xf>
    <xf numFmtId="0" fontId="2" fillId="10" borderId="12" xfId="0" applyFont="1" applyFill="1" applyBorder="1" applyAlignment="1" applyProtection="1">
      <alignment horizontal="center" vertical="center" shrinkToFit="1"/>
      <protection hidden="1"/>
    </xf>
    <xf numFmtId="0" fontId="2" fillId="10" borderId="14" xfId="0" applyFont="1" applyFill="1" applyBorder="1" applyAlignment="1" applyProtection="1">
      <alignment horizontal="center" vertical="center" shrinkToFit="1"/>
      <protection hidden="1"/>
    </xf>
    <xf numFmtId="0" fontId="2" fillId="10" borderId="15" xfId="0" applyFont="1" applyFill="1" applyBorder="1" applyAlignment="1" applyProtection="1">
      <alignment horizontal="center" vertical="center" shrinkToFit="1"/>
      <protection hidden="1"/>
    </xf>
    <xf numFmtId="1" fontId="2" fillId="10" borderId="25" xfId="0" applyNumberFormat="1" applyFont="1" applyFill="1" applyBorder="1" applyAlignment="1" applyProtection="1">
      <alignment horizontal="center" vertical="center" shrinkToFit="1"/>
      <protection hidden="1"/>
    </xf>
    <xf numFmtId="0" fontId="2" fillId="10" borderId="22" xfId="0" applyFont="1" applyFill="1" applyBorder="1" applyAlignment="1" applyProtection="1">
      <alignment horizontal="center" vertical="center" shrinkToFit="1"/>
      <protection hidden="1"/>
    </xf>
    <xf numFmtId="0" fontId="5" fillId="10" borderId="22" xfId="0" applyFont="1" applyFill="1" applyBorder="1" applyAlignment="1" applyProtection="1">
      <alignment horizontal="center" vertical="center" shrinkToFit="1"/>
      <protection hidden="1"/>
    </xf>
    <xf numFmtId="0" fontId="6" fillId="10" borderId="0" xfId="0" applyFont="1" applyFill="1" applyProtection="1">
      <protection hidden="1"/>
    </xf>
    <xf numFmtId="0" fontId="0" fillId="10" borderId="0" xfId="0" applyFill="1" applyProtection="1">
      <protection hidden="1"/>
    </xf>
    <xf numFmtId="0" fontId="11" fillId="10" borderId="12" xfId="0" applyFont="1" applyFill="1" applyBorder="1" applyAlignment="1" applyProtection="1">
      <alignment horizontal="center"/>
      <protection hidden="1"/>
    </xf>
    <xf numFmtId="0" fontId="11" fillId="10" borderId="12" xfId="0" applyFont="1" applyFill="1" applyBorder="1" applyAlignment="1" applyProtection="1">
      <alignment horizontal="center"/>
      <protection hidden="1"/>
    </xf>
    <xf numFmtId="0" fontId="0" fillId="10" borderId="0" xfId="0" applyFill="1" applyAlignment="1" applyProtection="1">
      <alignment horizontal="center"/>
      <protection hidden="1"/>
    </xf>
    <xf numFmtId="0" fontId="0" fillId="10" borderId="12" xfId="0" applyFill="1" applyBorder="1" applyProtection="1">
      <protection hidden="1"/>
    </xf>
    <xf numFmtId="1" fontId="0" fillId="10" borderId="12" xfId="0" applyNumberFormat="1" applyFill="1" applyBorder="1" applyAlignment="1" applyProtection="1">
      <alignment horizontal="center"/>
      <protection hidden="1"/>
    </xf>
    <xf numFmtId="2" fontId="0" fillId="10" borderId="12" xfId="0" applyNumberFormat="1" applyFill="1" applyBorder="1" applyAlignment="1" applyProtection="1">
      <alignment horizontal="center"/>
      <protection hidden="1"/>
    </xf>
    <xf numFmtId="0" fontId="0" fillId="10" borderId="12" xfId="0" applyFill="1" applyBorder="1" applyAlignment="1" applyProtection="1">
      <alignment horizontal="center"/>
      <protection hidden="1"/>
    </xf>
    <xf numFmtId="2" fontId="0" fillId="10" borderId="12" xfId="0" applyNumberFormat="1" applyFill="1" applyBorder="1" applyAlignment="1" applyProtection="1">
      <alignment horizontal="center" vertical="center" shrinkToFit="1"/>
      <protection hidden="1"/>
    </xf>
    <xf numFmtId="2" fontId="11" fillId="10" borderId="0" xfId="0" applyNumberFormat="1" applyFont="1" applyFill="1" applyAlignment="1" applyProtection="1">
      <alignment horizontal="center" vertical="center"/>
      <protection hidden="1"/>
    </xf>
    <xf numFmtId="2" fontId="0" fillId="10" borderId="0" xfId="0" applyNumberFormat="1" applyFill="1" applyAlignment="1" applyProtection="1">
      <alignment horizontal="center" vertical="center"/>
      <protection hidden="1"/>
    </xf>
    <xf numFmtId="0" fontId="11" fillId="10" borderId="12" xfId="0" applyFont="1" applyFill="1" applyBorder="1" applyAlignment="1" applyProtection="1">
      <alignment horizontal="center" vertical="center"/>
      <protection hidden="1"/>
    </xf>
    <xf numFmtId="0" fontId="15" fillId="10" borderId="12" xfId="0" applyFont="1" applyFill="1" applyBorder="1" applyAlignment="1" applyProtection="1">
      <alignment horizontal="left" vertical="center"/>
      <protection hidden="1"/>
    </xf>
    <xf numFmtId="2" fontId="0" fillId="10" borderId="12" xfId="0" applyNumberFormat="1" applyFill="1" applyBorder="1" applyAlignment="1" applyProtection="1">
      <alignment horizontal="center" vertical="center"/>
      <protection hidden="1"/>
    </xf>
    <xf numFmtId="2" fontId="0" fillId="10" borderId="0" xfId="0" applyNumberFormat="1" applyFill="1" applyAlignment="1" applyProtection="1">
      <alignment horizontal="center"/>
      <protection hidden="1"/>
    </xf>
    <xf numFmtId="0" fontId="0" fillId="10" borderId="0" xfId="0" applyFill="1" applyAlignment="1" applyProtection="1">
      <alignment horizontal="center" vertical="center"/>
      <protection hidden="1"/>
    </xf>
    <xf numFmtId="2" fontId="22" fillId="0" borderId="0" xfId="0" applyNumberFormat="1" applyFont="1" applyAlignment="1" applyProtection="1">
      <alignment vertical="center"/>
      <protection hidden="1"/>
    </xf>
    <xf numFmtId="0" fontId="24" fillId="10" borderId="2" xfId="0" applyFont="1" applyFill="1" applyBorder="1" applyAlignment="1" applyProtection="1">
      <alignment horizontal="center" vertical="center"/>
      <protection hidden="1"/>
    </xf>
    <xf numFmtId="0" fontId="24" fillId="10" borderId="3" xfId="0" applyFont="1" applyFill="1" applyBorder="1" applyAlignment="1" applyProtection="1">
      <alignment horizontal="center" vertical="center"/>
      <protection hidden="1"/>
    </xf>
    <xf numFmtId="0" fontId="24" fillId="10" borderId="4" xfId="0" applyFont="1" applyFill="1" applyBorder="1" applyAlignment="1" applyProtection="1">
      <alignment horizontal="center" vertical="center"/>
      <protection hidden="1"/>
    </xf>
    <xf numFmtId="2" fontId="23" fillId="0" borderId="2" xfId="0" applyNumberFormat="1" applyFont="1" applyBorder="1" applyAlignment="1" applyProtection="1">
      <alignment horizontal="center" vertical="center"/>
      <protection hidden="1"/>
    </xf>
    <xf numFmtId="2" fontId="23" fillId="0" borderId="4" xfId="0" applyNumberFormat="1" applyFont="1" applyBorder="1" applyAlignment="1" applyProtection="1">
      <alignment horizontal="center" vertical="center"/>
      <protection hidden="1"/>
    </xf>
    <xf numFmtId="0" fontId="24" fillId="10" borderId="5" xfId="0" applyFont="1" applyFill="1" applyBorder="1" applyAlignment="1" applyProtection="1">
      <alignment horizontal="center" vertical="center"/>
      <protection hidden="1"/>
    </xf>
    <xf numFmtId="0" fontId="24" fillId="10" borderId="0" xfId="0" applyFont="1" applyFill="1" applyAlignment="1" applyProtection="1">
      <alignment horizontal="center" vertical="center"/>
      <protection hidden="1"/>
    </xf>
    <xf numFmtId="0" fontId="24" fillId="10" borderId="6" xfId="0" applyFont="1" applyFill="1" applyBorder="1" applyAlignment="1" applyProtection="1">
      <alignment horizontal="center" vertical="center"/>
      <protection hidden="1"/>
    </xf>
    <xf numFmtId="2" fontId="23" fillId="0" borderId="5" xfId="0" applyNumberFormat="1" applyFont="1" applyBorder="1" applyAlignment="1" applyProtection="1">
      <alignment horizontal="center" vertical="center"/>
      <protection hidden="1"/>
    </xf>
    <xf numFmtId="2" fontId="23" fillId="0" borderId="6" xfId="0" applyNumberFormat="1" applyFont="1" applyBorder="1" applyAlignment="1" applyProtection="1">
      <alignment horizontal="center" vertical="center"/>
      <protection hidden="1"/>
    </xf>
    <xf numFmtId="0" fontId="24" fillId="10" borderId="7" xfId="0" applyFont="1" applyFill="1" applyBorder="1" applyAlignment="1" applyProtection="1">
      <alignment horizontal="center" vertical="center"/>
      <protection hidden="1"/>
    </xf>
    <xf numFmtId="0" fontId="24" fillId="10" borderId="8" xfId="0" applyFont="1" applyFill="1" applyBorder="1" applyAlignment="1" applyProtection="1">
      <alignment horizontal="center" vertical="center"/>
      <protection hidden="1"/>
    </xf>
    <xf numFmtId="0" fontId="24" fillId="10" borderId="9" xfId="0" applyFont="1" applyFill="1" applyBorder="1" applyAlignment="1" applyProtection="1">
      <alignment horizontal="center" vertical="center"/>
      <protection hidden="1"/>
    </xf>
    <xf numFmtId="2" fontId="23" fillId="0" borderId="7" xfId="0" applyNumberFormat="1" applyFont="1" applyBorder="1" applyAlignment="1" applyProtection="1">
      <alignment horizontal="center" vertical="center"/>
      <protection hidden="1"/>
    </xf>
    <xf numFmtId="2" fontId="23" fillId="0" borderId="9" xfId="0" applyNumberFormat="1" applyFont="1" applyBorder="1" applyAlignment="1" applyProtection="1">
      <alignment horizontal="center" vertical="center"/>
      <protection hidden="1"/>
    </xf>
    <xf numFmtId="0" fontId="21" fillId="2" borderId="39" xfId="0" applyFont="1" applyFill="1" applyBorder="1" applyAlignment="1" applyProtection="1">
      <alignment horizontal="center" vertical="center"/>
      <protection locked="0"/>
    </xf>
    <xf numFmtId="0" fontId="21" fillId="2" borderId="27" xfId="0" applyFont="1" applyFill="1" applyBorder="1" applyAlignment="1" applyProtection="1">
      <alignment horizontal="center" vertical="center"/>
      <protection locked="0"/>
    </xf>
    <xf numFmtId="0" fontId="21" fillId="2" borderId="1" xfId="0" applyFont="1" applyFill="1" applyBorder="1" applyAlignment="1" applyProtection="1">
      <alignment horizontal="center" vertical="center"/>
      <protection locked="0"/>
    </xf>
    <xf numFmtId="0" fontId="21" fillId="2" borderId="40" xfId="0" applyFont="1" applyFill="1" applyBorder="1" applyAlignment="1" applyProtection="1">
      <alignment horizontal="center" vertical="center"/>
      <protection locked="0"/>
    </xf>
    <xf numFmtId="0" fontId="28" fillId="2" borderId="33" xfId="0" applyFont="1" applyFill="1" applyBorder="1" applyAlignment="1" applyProtection="1">
      <alignment horizontal="center" vertical="center" wrapText="1"/>
      <protection locked="0"/>
    </xf>
    <xf numFmtId="0" fontId="28" fillId="2" borderId="34" xfId="0" applyFont="1" applyFill="1" applyBorder="1" applyAlignment="1" applyProtection="1">
      <alignment horizontal="center" vertical="center" wrapText="1"/>
      <protection locked="0"/>
    </xf>
    <xf numFmtId="0" fontId="28" fillId="2" borderId="35" xfId="0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FF799"/>
      <color rgb="FFCCFFFF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nt%20Mohammed\Desktop\NINJA\Grades\CpE%201-2.xlsx" TargetMode="External"/><Relationship Id="rId1" Type="http://schemas.openxmlformats.org/officeDocument/2006/relationships/externalLinkPath" Target="NINJA/Grades/CpE%201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Page"/>
      <sheetName val="LECTURE (75%)"/>
      <sheetName val="SUMMARY"/>
      <sheetName val="TO ENCODE"/>
    </sheetNames>
    <sheetDataSet>
      <sheetData sheetId="0"/>
      <sheetData sheetId="1">
        <row r="2">
          <cell r="AR2" t="str">
            <v>%</v>
          </cell>
          <cell r="AS2" t="str">
            <v>Equiv</v>
          </cell>
          <cell r="AT2" t="str">
            <v>PASSED</v>
          </cell>
        </row>
        <row r="3">
          <cell r="AR3">
            <v>0</v>
          </cell>
          <cell r="AS3">
            <v>5</v>
          </cell>
        </row>
        <row r="4">
          <cell r="AR4">
            <v>75</v>
          </cell>
          <cell r="AS4">
            <v>3</v>
          </cell>
        </row>
        <row r="5">
          <cell r="AR5">
            <v>76</v>
          </cell>
          <cell r="AS5">
            <v>2.75</v>
          </cell>
          <cell r="AT5" t="str">
            <v>REPEAT</v>
          </cell>
        </row>
        <row r="6">
          <cell r="AR6">
            <v>79</v>
          </cell>
          <cell r="AS6">
            <v>2.5</v>
          </cell>
          <cell r="AT6" t="str">
            <v>INC - PERFORMANCE TASK</v>
          </cell>
        </row>
        <row r="7">
          <cell r="AR7">
            <v>82</v>
          </cell>
          <cell r="AS7">
            <v>2.25</v>
          </cell>
          <cell r="AT7" t="str">
            <v>INC - MAJOR REQUIREMENT</v>
          </cell>
        </row>
        <row r="8">
          <cell r="AR8">
            <v>85</v>
          </cell>
          <cell r="AS8">
            <v>2</v>
          </cell>
          <cell r="AT8" t="str">
            <v>INC - WRITTEN WORK</v>
          </cell>
        </row>
        <row r="9">
          <cell r="AR9">
            <v>88</v>
          </cell>
          <cell r="AS9">
            <v>1.75</v>
          </cell>
          <cell r="AT9" t="str">
            <v>INC - PT/WW</v>
          </cell>
        </row>
        <row r="10">
          <cell r="AR10">
            <v>91</v>
          </cell>
          <cell r="AS10">
            <v>1.5</v>
          </cell>
          <cell r="AT10" t="str">
            <v>0.0 - EXCESSIVE ABSENCES</v>
          </cell>
        </row>
        <row r="11">
          <cell r="AR11">
            <v>94</v>
          </cell>
          <cell r="AS11">
            <v>1.25</v>
          </cell>
          <cell r="AT11" t="str">
            <v>0.0 - CHEATING/PLAGIARISM</v>
          </cell>
        </row>
        <row r="12">
          <cell r="AR12">
            <v>97</v>
          </cell>
          <cell r="AS12">
            <v>1</v>
          </cell>
          <cell r="AT12" t="str">
            <v>DROPPED</v>
          </cell>
        </row>
        <row r="17">
          <cell r="F17">
            <v>50</v>
          </cell>
          <cell r="H17">
            <v>100</v>
          </cell>
          <cell r="P17">
            <v>35</v>
          </cell>
          <cell r="Y17">
            <v>35</v>
          </cell>
          <cell r="AG17">
            <v>35</v>
          </cell>
          <cell r="AO17">
            <v>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2324-FA64-4D07-96C9-281ED4F92BAF}">
  <sheetPr codeName="Sheet2">
    <tabColor theme="1"/>
    <pageSetUpPr fitToPage="1"/>
  </sheetPr>
  <dimension ref="A1:AT20"/>
  <sheetViews>
    <sheetView showGridLines="0" topLeftCell="T1" zoomScale="70" zoomScaleNormal="70" zoomScaleSheetLayoutView="85" workbookViewId="0">
      <selection activeCell="T1" sqref="A1:XFD1048576"/>
    </sheetView>
  </sheetViews>
  <sheetFormatPr defaultColWidth="9.109375" defaultRowHeight="13.8" x14ac:dyDescent="0.3"/>
  <cols>
    <col min="1" max="1" width="3.109375" style="39" bestFit="1" customWidth="1"/>
    <col min="2" max="2" width="17.5546875" style="39" hidden="1" customWidth="1"/>
    <col min="3" max="3" width="42.44140625" style="39" bestFit="1" customWidth="1"/>
    <col min="4" max="4" width="16.44140625" style="39" hidden="1" customWidth="1"/>
    <col min="5" max="5" width="1.109375" style="39" customWidth="1"/>
    <col min="6" max="6" width="5.5546875" style="40" bestFit="1" customWidth="1"/>
    <col min="7" max="7" width="7" style="40" customWidth="1"/>
    <col min="8" max="8" width="4.6640625" style="40" customWidth="1"/>
    <col min="9" max="9" width="7.5546875" style="40" bestFit="1" customWidth="1"/>
    <col min="10" max="10" width="7.6640625" style="40" customWidth="1"/>
    <col min="11" max="11" width="7.5546875" style="40" bestFit="1" customWidth="1"/>
    <col min="12" max="12" width="8.33203125" style="40" bestFit="1" customWidth="1"/>
    <col min="13" max="16" width="4.6640625" style="40" customWidth="1"/>
    <col min="17" max="17" width="8.21875" style="40" customWidth="1"/>
    <col min="18" max="19" width="9.33203125" style="40" bestFit="1" customWidth="1"/>
    <col min="20" max="21" width="4.6640625" style="40" customWidth="1"/>
    <col min="22" max="22" width="5.5546875" style="40" bestFit="1" customWidth="1"/>
    <col min="23" max="24" width="7.77734375" style="40" bestFit="1" customWidth="1"/>
    <col min="25" max="25" width="4.5546875" style="39" customWidth="1"/>
    <col min="26" max="26" width="9.109375" style="39" bestFit="1" customWidth="1"/>
    <col min="27" max="32" width="4.5546875" style="39" customWidth="1"/>
    <col min="33" max="33" width="5.6640625" style="39" bestFit="1" customWidth="1"/>
    <col min="34" max="34" width="9.109375" style="39" bestFit="1" customWidth="1"/>
    <col min="35" max="35" width="5.77734375" style="39" bestFit="1" customWidth="1"/>
    <col min="36" max="41" width="4.5546875" style="39" customWidth="1"/>
    <col min="42" max="42" width="4.109375" style="39" customWidth="1"/>
    <col min="43" max="44" width="6.77734375" style="39" bestFit="1" customWidth="1"/>
    <col min="45" max="45" width="6.109375" style="39" customWidth="1"/>
    <col min="46" max="46" width="31.88671875" style="39" customWidth="1"/>
    <col min="47" max="47" width="9.109375" style="39"/>
    <col min="48" max="48" width="9.109375" style="39" customWidth="1"/>
    <col min="49" max="49" width="9.5546875" style="39" customWidth="1"/>
    <col min="50" max="16384" width="9.109375" style="39"/>
  </cols>
  <sheetData>
    <row r="1" spans="1:46" ht="14.4" thickBot="1" x14ac:dyDescent="0.35"/>
    <row r="2" spans="1:46" ht="15" customHeight="1" thickBot="1" x14ac:dyDescent="0.35">
      <c r="AL2" s="41" t="s">
        <v>22</v>
      </c>
      <c r="AM2" s="42"/>
      <c r="AN2" s="42"/>
      <c r="AO2" s="42"/>
      <c r="AP2" s="43"/>
      <c r="AR2" s="44" t="s">
        <v>10</v>
      </c>
      <c r="AS2" s="45" t="s">
        <v>11</v>
      </c>
      <c r="AT2" s="39" t="s">
        <v>23</v>
      </c>
    </row>
    <row r="3" spans="1:46" ht="15" customHeight="1" x14ac:dyDescent="0.3">
      <c r="AL3" s="46"/>
      <c r="AM3" s="47"/>
      <c r="AN3" s="47"/>
      <c r="AO3" s="47"/>
      <c r="AP3" s="48"/>
      <c r="AR3" s="49">
        <v>0</v>
      </c>
      <c r="AS3" s="50">
        <v>5</v>
      </c>
    </row>
    <row r="4" spans="1:46" ht="15" customHeight="1" thickBot="1" x14ac:dyDescent="0.35">
      <c r="AL4" s="51"/>
      <c r="AM4" s="52"/>
      <c r="AN4" s="52"/>
      <c r="AO4" s="52"/>
      <c r="AP4" s="53"/>
      <c r="AR4" s="54">
        <v>75</v>
      </c>
      <c r="AS4" s="55">
        <v>3</v>
      </c>
    </row>
    <row r="5" spans="1:46" ht="15" customHeight="1" thickBot="1" x14ac:dyDescent="0.35">
      <c r="F5" s="56"/>
      <c r="G5" s="56"/>
      <c r="H5" s="56"/>
      <c r="I5" s="56"/>
      <c r="J5" s="57"/>
      <c r="K5" s="58"/>
      <c r="L5" s="58"/>
      <c r="M5" s="58"/>
      <c r="N5" s="58"/>
      <c r="O5" s="59"/>
      <c r="P5" s="59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L5" s="60"/>
      <c r="AM5" s="61" t="s">
        <v>18</v>
      </c>
      <c r="AN5" s="62"/>
      <c r="AO5" s="61" t="s">
        <v>19</v>
      </c>
      <c r="AP5" s="62"/>
      <c r="AR5" s="54">
        <v>76</v>
      </c>
      <c r="AS5" s="63">
        <v>2.75</v>
      </c>
      <c r="AT5" s="39" t="s">
        <v>24</v>
      </c>
    </row>
    <row r="6" spans="1:46" ht="15" customHeight="1" x14ac:dyDescent="0.3">
      <c r="F6" s="56"/>
      <c r="G6" s="56"/>
      <c r="H6" s="56"/>
      <c r="I6" s="56"/>
      <c r="J6" s="57"/>
      <c r="K6" s="64"/>
      <c r="L6" s="64"/>
      <c r="M6" s="64"/>
      <c r="N6" s="64"/>
      <c r="O6" s="59"/>
      <c r="P6" s="59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L6" s="66" t="s">
        <v>16</v>
      </c>
      <c r="AM6" s="67">
        <v>30</v>
      </c>
      <c r="AN6" s="68"/>
      <c r="AO6" s="67">
        <v>30</v>
      </c>
      <c r="AP6" s="68"/>
      <c r="AR6" s="69">
        <v>79</v>
      </c>
      <c r="AS6" s="70">
        <v>2.5</v>
      </c>
      <c r="AT6" s="39" t="s">
        <v>25</v>
      </c>
    </row>
    <row r="7" spans="1:46" ht="15" customHeight="1" x14ac:dyDescent="0.3">
      <c r="F7" s="56"/>
      <c r="G7" s="56"/>
      <c r="H7" s="56"/>
      <c r="I7" s="56"/>
      <c r="J7" s="57"/>
      <c r="K7" s="64"/>
      <c r="L7" s="64"/>
      <c r="M7" s="64"/>
      <c r="N7" s="64"/>
      <c r="O7" s="59"/>
      <c r="P7" s="59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L7" s="71" t="s">
        <v>17</v>
      </c>
      <c r="AM7" s="72">
        <v>40</v>
      </c>
      <c r="AN7" s="73"/>
      <c r="AO7" s="72">
        <v>40</v>
      </c>
      <c r="AP7" s="73"/>
      <c r="AR7" s="69">
        <v>82</v>
      </c>
      <c r="AS7" s="74">
        <v>2.25</v>
      </c>
      <c r="AT7" s="39" t="s">
        <v>26</v>
      </c>
    </row>
    <row r="8" spans="1:46" ht="15" customHeight="1" x14ac:dyDescent="0.3">
      <c r="F8" s="56"/>
      <c r="G8" s="56"/>
      <c r="H8" s="56"/>
      <c r="I8" s="56"/>
      <c r="J8" s="57"/>
      <c r="K8" s="64"/>
      <c r="L8" s="64"/>
      <c r="M8" s="64"/>
      <c r="N8" s="64"/>
      <c r="O8" s="59"/>
      <c r="P8" s="59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L8" s="71" t="s">
        <v>5</v>
      </c>
      <c r="AM8" s="72">
        <v>30</v>
      </c>
      <c r="AN8" s="73"/>
      <c r="AO8" s="72"/>
      <c r="AP8" s="73"/>
      <c r="AR8" s="69">
        <v>85</v>
      </c>
      <c r="AS8" s="70">
        <v>2</v>
      </c>
      <c r="AT8" s="39" t="s">
        <v>27</v>
      </c>
    </row>
    <row r="9" spans="1:46" ht="15" customHeight="1" thickBot="1" x14ac:dyDescent="0.35">
      <c r="F9" s="56"/>
      <c r="G9" s="56"/>
      <c r="H9" s="56"/>
      <c r="I9" s="56"/>
      <c r="J9" s="57"/>
      <c r="K9" s="64"/>
      <c r="L9" s="64"/>
      <c r="M9" s="64"/>
      <c r="N9" s="64"/>
      <c r="O9" s="59"/>
      <c r="P9" s="59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L9" s="75" t="s">
        <v>12</v>
      </c>
      <c r="AM9" s="76"/>
      <c r="AN9" s="77"/>
      <c r="AO9" s="76">
        <v>30</v>
      </c>
      <c r="AP9" s="77"/>
      <c r="AR9" s="69">
        <v>88</v>
      </c>
      <c r="AS9" s="74">
        <v>1.75</v>
      </c>
      <c r="AT9" s="39" t="s">
        <v>28</v>
      </c>
    </row>
    <row r="10" spans="1:46" ht="15" customHeight="1" thickBot="1" x14ac:dyDescent="0.35">
      <c r="B10" s="78" t="s">
        <v>1</v>
      </c>
      <c r="C10" s="79"/>
      <c r="D10" s="79"/>
      <c r="E10" s="78"/>
      <c r="F10" s="56"/>
      <c r="G10" s="56"/>
      <c r="H10" s="56"/>
      <c r="I10" s="56"/>
      <c r="J10" s="57"/>
      <c r="K10" s="80"/>
      <c r="L10" s="80"/>
      <c r="M10" s="80"/>
      <c r="N10" s="80"/>
      <c r="O10" s="81"/>
      <c r="P10" s="81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L10" s="82" t="s">
        <v>20</v>
      </c>
      <c r="AM10" s="83">
        <f>SUM(AM6:AN9)</f>
        <v>100</v>
      </c>
      <c r="AN10" s="84"/>
      <c r="AO10" s="83">
        <f>SUM(AO6:AP9)</f>
        <v>100</v>
      </c>
      <c r="AP10" s="84"/>
      <c r="AR10" s="69">
        <v>91</v>
      </c>
      <c r="AS10" s="70">
        <v>1.5</v>
      </c>
      <c r="AT10" s="39" t="s">
        <v>29</v>
      </c>
    </row>
    <row r="11" spans="1:46" ht="15" customHeight="1" thickBot="1" x14ac:dyDescent="0.35">
      <c r="B11" s="78" t="s">
        <v>0</v>
      </c>
      <c r="C11" s="85"/>
      <c r="D11" s="85"/>
      <c r="E11" s="78"/>
      <c r="AL11" s="86" t="s">
        <v>21</v>
      </c>
      <c r="AM11" s="87"/>
      <c r="AN11" s="87"/>
      <c r="AO11" s="88">
        <v>75</v>
      </c>
      <c r="AP11" s="89"/>
      <c r="AR11" s="69">
        <v>94</v>
      </c>
      <c r="AS11" s="74">
        <v>1.25</v>
      </c>
      <c r="AT11" s="39" t="s">
        <v>30</v>
      </c>
    </row>
    <row r="12" spans="1:46" ht="15" customHeight="1" thickBot="1" x14ac:dyDescent="0.35">
      <c r="AR12" s="90">
        <v>97</v>
      </c>
      <c r="AS12" s="91">
        <v>1</v>
      </c>
      <c r="AT12" s="39" t="s">
        <v>31</v>
      </c>
    </row>
    <row r="13" spans="1:46" ht="15" customHeight="1" thickBot="1" x14ac:dyDescent="0.35"/>
    <row r="14" spans="1:46" ht="15.75" customHeight="1" thickBot="1" x14ac:dyDescent="0.35">
      <c r="A14" s="92"/>
      <c r="B14" s="93" t="s">
        <v>2</v>
      </c>
      <c r="C14" s="94"/>
      <c r="D14" s="95" t="s">
        <v>3</v>
      </c>
      <c r="F14" s="96" t="s">
        <v>9</v>
      </c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8"/>
      <c r="Y14" s="99" t="s">
        <v>13</v>
      </c>
      <c r="Z14" s="100"/>
      <c r="AA14" s="100"/>
      <c r="AB14" s="100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2"/>
      <c r="AS14" s="103" t="s">
        <v>15</v>
      </c>
      <c r="AT14" s="104"/>
    </row>
    <row r="15" spans="1:46" ht="15.75" customHeight="1" thickBot="1" x14ac:dyDescent="0.35">
      <c r="A15" s="105"/>
      <c r="B15" s="106"/>
      <c r="C15" s="107"/>
      <c r="D15" s="108"/>
      <c r="F15" s="96" t="s">
        <v>7</v>
      </c>
      <c r="G15" s="97"/>
      <c r="H15" s="97"/>
      <c r="I15" s="97"/>
      <c r="J15" s="97"/>
      <c r="K15" s="97"/>
      <c r="L15" s="109"/>
      <c r="M15" s="110"/>
      <c r="N15" s="111" t="s">
        <v>8</v>
      </c>
      <c r="O15" s="111"/>
      <c r="P15" s="111"/>
      <c r="Q15" s="97"/>
      <c r="R15" s="97"/>
      <c r="S15" s="97"/>
      <c r="T15" s="109"/>
      <c r="U15" s="110"/>
      <c r="V15" s="112" t="s">
        <v>5</v>
      </c>
      <c r="W15" s="113" t="s">
        <v>4</v>
      </c>
      <c r="X15" s="114"/>
      <c r="Y15" s="99" t="s">
        <v>7</v>
      </c>
      <c r="Z15" s="100"/>
      <c r="AA15" s="100"/>
      <c r="AB15" s="100"/>
      <c r="AC15" s="101"/>
      <c r="AD15" s="101"/>
      <c r="AE15" s="101"/>
      <c r="AF15" s="115"/>
      <c r="AG15" s="100" t="s">
        <v>8</v>
      </c>
      <c r="AH15" s="100"/>
      <c r="AI15" s="100"/>
      <c r="AJ15" s="100"/>
      <c r="AK15" s="101"/>
      <c r="AL15" s="101"/>
      <c r="AM15" s="101"/>
      <c r="AN15" s="115"/>
      <c r="AO15" s="116" t="s">
        <v>12</v>
      </c>
      <c r="AP15" s="117" t="s">
        <v>6</v>
      </c>
      <c r="AQ15" s="118" t="s">
        <v>14</v>
      </c>
      <c r="AR15" s="119"/>
      <c r="AS15" s="120"/>
      <c r="AT15" s="121"/>
    </row>
    <row r="16" spans="1:46" ht="15.75" customHeight="1" x14ac:dyDescent="0.3">
      <c r="A16" s="105"/>
      <c r="B16" s="106"/>
      <c r="C16" s="107"/>
      <c r="D16" s="108"/>
      <c r="F16" s="122" t="s">
        <v>35</v>
      </c>
      <c r="G16" s="123" t="s">
        <v>37</v>
      </c>
      <c r="H16" s="123" t="s">
        <v>38</v>
      </c>
      <c r="I16" s="123" t="s">
        <v>39</v>
      </c>
      <c r="J16" s="124" t="s">
        <v>40</v>
      </c>
      <c r="K16" s="124" t="s">
        <v>65</v>
      </c>
      <c r="L16" s="124"/>
      <c r="M16" s="125"/>
      <c r="N16" s="122" t="s">
        <v>36</v>
      </c>
      <c r="O16" s="126" t="s">
        <v>34</v>
      </c>
      <c r="P16" s="126" t="s">
        <v>66</v>
      </c>
      <c r="Q16" s="123" t="s">
        <v>67</v>
      </c>
      <c r="R16" s="123"/>
      <c r="S16" s="123"/>
      <c r="T16" s="127"/>
      <c r="U16" s="128"/>
      <c r="V16" s="129"/>
      <c r="W16" s="130"/>
      <c r="X16" s="131"/>
      <c r="Y16" s="132" t="s">
        <v>66</v>
      </c>
      <c r="Z16" s="133"/>
      <c r="AA16" s="134"/>
      <c r="AB16" s="134"/>
      <c r="AC16" s="135"/>
      <c r="AD16" s="135"/>
      <c r="AE16" s="135"/>
      <c r="AF16" s="136"/>
      <c r="AG16" s="132" t="s">
        <v>66</v>
      </c>
      <c r="AH16" s="133" t="s">
        <v>67</v>
      </c>
      <c r="AI16" s="133"/>
      <c r="AJ16" s="134"/>
      <c r="AK16" s="135"/>
      <c r="AL16" s="135"/>
      <c r="AM16" s="135"/>
      <c r="AN16" s="136"/>
      <c r="AO16" s="137"/>
      <c r="AP16" s="138"/>
      <c r="AQ16" s="139"/>
      <c r="AR16" s="140"/>
      <c r="AS16" s="120"/>
      <c r="AT16" s="121"/>
    </row>
    <row r="17" spans="1:46" s="144" customFormat="1" ht="15.75" customHeight="1" thickBot="1" x14ac:dyDescent="0.35">
      <c r="A17" s="141"/>
      <c r="B17" s="142"/>
      <c r="C17" s="107"/>
      <c r="D17" s="143"/>
      <c r="F17" s="145">
        <v>50</v>
      </c>
      <c r="G17" s="146"/>
      <c r="H17" s="146">
        <v>100</v>
      </c>
      <c r="I17" s="146"/>
      <c r="J17" s="146"/>
      <c r="K17" s="146"/>
      <c r="L17" s="147"/>
      <c r="M17" s="148"/>
      <c r="N17" s="145"/>
      <c r="O17" s="149"/>
      <c r="P17" s="149">
        <v>35</v>
      </c>
      <c r="Q17" s="146"/>
      <c r="R17" s="150"/>
      <c r="S17" s="150"/>
      <c r="T17" s="151"/>
      <c r="U17" s="152"/>
      <c r="V17" s="153">
        <v>100</v>
      </c>
      <c r="W17" s="154" t="s">
        <v>10</v>
      </c>
      <c r="X17" s="155" t="s">
        <v>11</v>
      </c>
      <c r="Y17" s="156">
        <v>35</v>
      </c>
      <c r="Z17" s="157"/>
      <c r="AA17" s="158"/>
      <c r="AB17" s="158"/>
      <c r="AC17" s="159"/>
      <c r="AD17" s="159"/>
      <c r="AE17" s="160"/>
      <c r="AF17" s="161"/>
      <c r="AG17" s="156">
        <v>35</v>
      </c>
      <c r="AH17" s="157"/>
      <c r="AI17" s="157"/>
      <c r="AJ17" s="157"/>
      <c r="AK17" s="160"/>
      <c r="AL17" s="160"/>
      <c r="AM17" s="160"/>
      <c r="AN17" s="161"/>
      <c r="AO17" s="162">
        <v>35</v>
      </c>
      <c r="AP17" s="163"/>
      <c r="AQ17" s="164" t="s">
        <v>10</v>
      </c>
      <c r="AR17" s="165" t="s">
        <v>11</v>
      </c>
      <c r="AS17" s="166"/>
      <c r="AT17" s="167"/>
    </row>
    <row r="18" spans="1:46" s="144" customFormat="1" ht="18.600000000000001" customHeight="1" x14ac:dyDescent="0.3">
      <c r="A18" s="168">
        <v>1</v>
      </c>
      <c r="B18" s="169"/>
      <c r="C18" s="170"/>
      <c r="D18" s="171"/>
      <c r="E18" s="172"/>
      <c r="F18" s="173">
        <f>'GRADE CALCULATOR'!C6</f>
        <v>0</v>
      </c>
      <c r="G18" s="174">
        <f>'GRADE CALCULATOR'!D6</f>
        <v>0</v>
      </c>
      <c r="H18" s="175">
        <f>'GRADE CALCULATOR'!E6</f>
        <v>0</v>
      </c>
      <c r="I18" s="175">
        <f>'GRADE CALCULATOR'!F6</f>
        <v>0</v>
      </c>
      <c r="J18" s="175">
        <f>'GRADE CALCULATOR'!G6</f>
        <v>0</v>
      </c>
      <c r="K18" s="175">
        <f>'GRADE CALCULATOR'!H6</f>
        <v>0</v>
      </c>
      <c r="L18" s="175"/>
      <c r="M18" s="176"/>
      <c r="N18" s="175">
        <f>'GRADE CALCULATOR'!J6</f>
        <v>0</v>
      </c>
      <c r="O18" s="175">
        <f>'GRADE CALCULATOR'!K6</f>
        <v>0</v>
      </c>
      <c r="P18" s="177">
        <f>'GRADE CALCULATOR'!L6</f>
        <v>0</v>
      </c>
      <c r="Q18" s="177">
        <f>'GRADE CALCULATOR'!M6</f>
        <v>0</v>
      </c>
      <c r="R18" s="177"/>
      <c r="S18" s="177"/>
      <c r="T18" s="175"/>
      <c r="U18" s="175"/>
      <c r="V18" s="176">
        <f>'GRADE CALCULATOR'!I6</f>
        <v>0</v>
      </c>
      <c r="W18" s="178">
        <f t="shared" ref="W18" si="0">(((SUM(F18:M18)/SUM(MTWW))*$AM$6)+((SUM(N18:U18)/SUM(MTPT))*$AM$7)+((V18/$V$17)*$AM$8))</f>
        <v>0</v>
      </c>
      <c r="X18" s="127">
        <f t="shared" ref="X18" si="1">IF($S$5="Nationalian Course", (IF(W18&gt;74.46,"Pass","Fail")),(VLOOKUP(W18,equiv,2)))</f>
        <v>5</v>
      </c>
      <c r="Y18" s="179">
        <f>P18</f>
        <v>0</v>
      </c>
      <c r="Z18" s="180"/>
      <c r="AA18" s="181"/>
      <c r="AB18" s="181"/>
      <c r="AC18" s="181"/>
      <c r="AD18" s="181"/>
      <c r="AE18" s="181"/>
      <c r="AF18" s="182"/>
      <c r="AG18" s="179">
        <f>P18</f>
        <v>0</v>
      </c>
      <c r="AH18" s="180">
        <f>Q18</f>
        <v>0</v>
      </c>
      <c r="AI18" s="181"/>
      <c r="AJ18" s="181"/>
      <c r="AK18" s="181"/>
      <c r="AL18" s="181"/>
      <c r="AM18" s="181"/>
      <c r="AN18" s="182"/>
      <c r="AO18" s="179">
        <f>P18</f>
        <v>0</v>
      </c>
      <c r="AP18" s="182"/>
      <c r="AQ18" s="183">
        <f t="shared" ref="AQ18" si="2">(((SUM(Y18:AF18))/(SUM(FWW)))*$AO$6)+(((SUM(AG18:AN18))/(SUM(FPT)))*$AO$7)+((AO18/FR)*$AO$9)</f>
        <v>0</v>
      </c>
      <c r="AR18" s="184">
        <f t="shared" ref="AR18" si="3">IF($S$5="Nationalian Course", (IF(AQ18&gt;74.46,"Pass","Fail")),(VLOOKUP(AQ18,equiv,2)))</f>
        <v>5</v>
      </c>
      <c r="AS18" s="185"/>
      <c r="AT18" s="185"/>
    </row>
    <row r="19" spans="1:46" x14ac:dyDescent="0.3">
      <c r="D19" s="186" t="s">
        <v>32</v>
      </c>
      <c r="F19" s="39"/>
    </row>
    <row r="20" spans="1:46" x14ac:dyDescent="0.3">
      <c r="F20" s="39"/>
    </row>
  </sheetData>
  <sheetProtection algorithmName="SHA-512" hashValue="hesCe8YYTCV2oCYN7Yi5oykFBX+/dHVM1veWKbWf3Fy26m1E31m+0S4birqsn0LjkvN2EMiPMS7REuPh948YAQ==" saltValue="3ax8EZhQRCLnhOzE9Xsxkw==" spinCount="100000" sheet="1" selectLockedCells="1" selectUnlockedCells="1"/>
  <mergeCells count="52">
    <mergeCell ref="AS18:AT18"/>
    <mergeCell ref="AS14:AT17"/>
    <mergeCell ref="AL2:AP4"/>
    <mergeCell ref="AL11:AN11"/>
    <mergeCell ref="AO6:AP6"/>
    <mergeCell ref="AM6:AN6"/>
    <mergeCell ref="AO11:AP11"/>
    <mergeCell ref="AO10:AP10"/>
    <mergeCell ref="AO9:AP9"/>
    <mergeCell ref="AO8:AP8"/>
    <mergeCell ref="AM10:AN10"/>
    <mergeCell ref="AM9:AN9"/>
    <mergeCell ref="AO15:AO16"/>
    <mergeCell ref="AP15:AP17"/>
    <mergeCell ref="AQ15:AR16"/>
    <mergeCell ref="Y14:AR14"/>
    <mergeCell ref="S5:AD5"/>
    <mergeCell ref="AO5:AP5"/>
    <mergeCell ref="AM5:AN5"/>
    <mergeCell ref="AM8:AN8"/>
    <mergeCell ref="AO7:AP7"/>
    <mergeCell ref="AM7:AN7"/>
    <mergeCell ref="K5:N5"/>
    <mergeCell ref="F5:I5"/>
    <mergeCell ref="K9:N9"/>
    <mergeCell ref="K8:N8"/>
    <mergeCell ref="K7:N7"/>
    <mergeCell ref="K6:N6"/>
    <mergeCell ref="F9:I9"/>
    <mergeCell ref="F8:I8"/>
    <mergeCell ref="F7:I7"/>
    <mergeCell ref="F6:I6"/>
    <mergeCell ref="S9:AD9"/>
    <mergeCell ref="S8:AD8"/>
    <mergeCell ref="S7:AD7"/>
    <mergeCell ref="S6:AD6"/>
    <mergeCell ref="S10:AD10"/>
    <mergeCell ref="C11:D11"/>
    <mergeCell ref="C10:D10"/>
    <mergeCell ref="F10:I10"/>
    <mergeCell ref="K10:N10"/>
    <mergeCell ref="A14:A17"/>
    <mergeCell ref="D14:D17"/>
    <mergeCell ref="C14:C17"/>
    <mergeCell ref="B14:B17"/>
    <mergeCell ref="AG15:AN15"/>
    <mergeCell ref="Y15:AF15"/>
    <mergeCell ref="F14:X14"/>
    <mergeCell ref="F15:M15"/>
    <mergeCell ref="N15:U15"/>
    <mergeCell ref="V15:V16"/>
    <mergeCell ref="W15:X16"/>
  </mergeCells>
  <dataValidations disablePrompts="1" count="1">
    <dataValidation type="list" showInputMessage="1" showErrorMessage="1" sqref="AS18:AT18" xr:uid="{6A296891-CC5C-4F98-9A08-E0728B9A3521}">
      <formula1>REMARKS</formula1>
    </dataValidation>
  </dataValidations>
  <printOptions horizontalCentered="1" verticalCentered="1"/>
  <pageMargins left="0.25" right="0.25" top="0.25" bottom="0.25" header="0.24" footer="0.24"/>
  <pageSetup paperSize="9" scale="46" orientation="landscape" horizontalDpi="1200" verticalDpi="1200" r:id="rId1"/>
  <ignoredErrors>
    <ignoredError sqref="F18 H18:J18 AP18:AQ18 AI18:AN18 S18:U18 AA18:AF18 K18:R18 AG18:AH18 V18:Z18 AO18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0EEF-3045-475F-95EB-93F19F5830A8}">
  <sheetPr>
    <tabColor theme="1"/>
  </sheetPr>
  <dimension ref="B2:M4"/>
  <sheetViews>
    <sheetView workbookViewId="0">
      <selection sqref="A1:XFD1048576"/>
    </sheetView>
  </sheetViews>
  <sheetFormatPr defaultRowHeight="14.4" x14ac:dyDescent="0.3"/>
  <cols>
    <col min="1" max="1" width="8.88671875" style="187"/>
    <col min="2" max="2" width="28.6640625" style="187" bestFit="1" customWidth="1"/>
    <col min="3" max="3" width="9.33203125" style="190" customWidth="1"/>
    <col min="4" max="4" width="10.5546875" style="190" bestFit="1" customWidth="1"/>
    <col min="5" max="5" width="8.88671875" style="190"/>
    <col min="6" max="6" width="15.44140625" style="190" bestFit="1" customWidth="1"/>
    <col min="7" max="7" width="21" style="190" bestFit="1" customWidth="1"/>
    <col min="8" max="8" width="4.77734375" style="187" customWidth="1"/>
    <col min="9" max="9" width="8.88671875" style="190"/>
    <col min="10" max="10" width="11.5546875" style="190" bestFit="1" customWidth="1"/>
    <col min="11" max="11" width="8.88671875" style="190"/>
    <col min="12" max="12" width="13.21875" style="190" bestFit="1" customWidth="1"/>
    <col min="13" max="13" width="18.44140625" style="190" bestFit="1" customWidth="1"/>
    <col min="14" max="16384" width="8.88671875" style="187"/>
  </cols>
  <sheetData>
    <row r="2" spans="2:13" x14ac:dyDescent="0.3">
      <c r="C2" s="188" t="s">
        <v>42</v>
      </c>
      <c r="D2" s="188"/>
      <c r="E2" s="188"/>
      <c r="F2" s="188"/>
      <c r="G2" s="188"/>
      <c r="I2" s="188" t="s">
        <v>44</v>
      </c>
      <c r="J2" s="188"/>
      <c r="K2" s="188"/>
      <c r="L2" s="188"/>
      <c r="M2" s="188"/>
    </row>
    <row r="3" spans="2:13" s="190" customFormat="1" x14ac:dyDescent="0.3">
      <c r="B3" s="189" t="s">
        <v>68</v>
      </c>
      <c r="C3" s="189" t="s">
        <v>69</v>
      </c>
      <c r="D3" s="189" t="s">
        <v>70</v>
      </c>
      <c r="E3" s="189" t="s">
        <v>71</v>
      </c>
      <c r="F3" s="189" t="s">
        <v>60</v>
      </c>
      <c r="G3" s="189" t="s">
        <v>72</v>
      </c>
      <c r="I3" s="189" t="s">
        <v>69</v>
      </c>
      <c r="J3" s="189" t="s">
        <v>70</v>
      </c>
      <c r="K3" s="189" t="s">
        <v>71</v>
      </c>
      <c r="L3" s="189" t="s">
        <v>73</v>
      </c>
      <c r="M3" s="189" t="s">
        <v>74</v>
      </c>
    </row>
    <row r="4" spans="2:13" x14ac:dyDescent="0.3">
      <c r="B4" s="191"/>
      <c r="C4" s="192">
        <f>IF('DATA 1'!W18&gt;100,100,'DATA 1'!W18)</f>
        <v>0</v>
      </c>
      <c r="D4" s="193">
        <f>C4*0.75</f>
        <v>0</v>
      </c>
      <c r="E4" s="194">
        <f>'GRADE CALCULATOR'!C11</f>
        <v>0</v>
      </c>
      <c r="F4" s="193">
        <f>D4+E4</f>
        <v>0</v>
      </c>
      <c r="G4" s="195">
        <f t="shared" ref="G4" si="0">IF($Q$5="Nationalian Course", (IF(F4&gt;74.46,"Pass","Fail")),(VLOOKUP(F4,equiv,2)))</f>
        <v>5</v>
      </c>
      <c r="I4" s="192">
        <f>IF('DATA 1'!AQ18&gt;100,100,'DATA 1'!AQ18)</f>
        <v>0</v>
      </c>
      <c r="J4" s="193">
        <f>I4*0.75</f>
        <v>0</v>
      </c>
      <c r="K4" s="194">
        <f>'GRADE CALCULATOR'!C16</f>
        <v>0</v>
      </c>
      <c r="L4" s="193">
        <f>J4+K4</f>
        <v>0</v>
      </c>
      <c r="M4" s="195">
        <f t="shared" ref="M4" si="1">IF($Q$5="Nationalian Course", (IF(L4&gt;74.46,"Pass","Fail")),(VLOOKUP(L4,equiv,2)))</f>
        <v>5</v>
      </c>
    </row>
  </sheetData>
  <sheetProtection algorithmName="SHA-512" hashValue="tPU3p3qWFLrbWFZ8KlX5cIGUupWqEwH8zLLEX4hCb5GtrNoGnStzK6O2FK8igdipLPM4RYEoh9s2m2+WiFkMAw==" saltValue="NtsUMhJK2BsX/uDm8nc3QA==" spinCount="100000" sheet="1" objects="1" scenarios="1" selectLockedCells="1" selectUnlockedCells="1"/>
  <mergeCells count="2">
    <mergeCell ref="C2:G2"/>
    <mergeCell ref="I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AEE1-7DCD-463D-A7B3-5EABAB8DF563}">
  <sheetPr>
    <tabColor theme="1"/>
  </sheetPr>
  <dimension ref="B3:Q13"/>
  <sheetViews>
    <sheetView workbookViewId="0">
      <selection sqref="A1:XFD1048576"/>
    </sheetView>
  </sheetViews>
  <sheetFormatPr defaultRowHeight="14.4" x14ac:dyDescent="0.3"/>
  <cols>
    <col min="1" max="1" width="8.88671875" style="187"/>
    <col min="2" max="2" width="31.88671875" style="187" bestFit="1" customWidth="1"/>
    <col min="3" max="4" width="8.88671875" style="202"/>
    <col min="5" max="5" width="12.109375" style="187" bestFit="1" customWidth="1"/>
    <col min="6" max="16384" width="8.88671875" style="187"/>
  </cols>
  <sheetData>
    <row r="3" spans="2:17" x14ac:dyDescent="0.3">
      <c r="B3" s="189"/>
      <c r="C3" s="198" t="s">
        <v>18</v>
      </c>
      <c r="D3" s="198" t="s">
        <v>45</v>
      </c>
      <c r="E3" s="198" t="s">
        <v>46</v>
      </c>
      <c r="H3" s="196">
        <v>1</v>
      </c>
      <c r="I3" s="196">
        <v>1.25</v>
      </c>
      <c r="J3" s="196">
        <v>1.5</v>
      </c>
      <c r="K3" s="196">
        <v>1.75</v>
      </c>
      <c r="L3" s="196">
        <v>2</v>
      </c>
      <c r="M3" s="196">
        <v>2.25</v>
      </c>
      <c r="N3" s="196">
        <v>2.5</v>
      </c>
      <c r="O3" s="196">
        <v>2.75</v>
      </c>
      <c r="P3" s="196">
        <v>3</v>
      </c>
      <c r="Q3" s="196">
        <v>5</v>
      </c>
    </row>
    <row r="4" spans="2:17" x14ac:dyDescent="0.3">
      <c r="B4" s="199"/>
      <c r="C4" s="200">
        <f>'DATA 2'!G4</f>
        <v>5</v>
      </c>
      <c r="D4" s="200">
        <f>'DATA 2'!M4</f>
        <v>5</v>
      </c>
      <c r="E4" s="193">
        <f>INDEX($H$4:$Q$13,MATCH(C4,$G$4:$G$13,0),MATCH(D4,$H$3:$Q$3,0))</f>
        <v>5</v>
      </c>
      <c r="G4" s="196">
        <v>1</v>
      </c>
      <c r="H4" s="197">
        <v>1</v>
      </c>
      <c r="I4" s="197">
        <v>1</v>
      </c>
      <c r="J4" s="197">
        <v>1.25</v>
      </c>
      <c r="K4" s="197">
        <v>1.25</v>
      </c>
      <c r="L4" s="197">
        <v>1.5</v>
      </c>
      <c r="M4" s="197">
        <v>1.5</v>
      </c>
      <c r="N4" s="201">
        <v>1.75</v>
      </c>
      <c r="O4" s="201">
        <v>1.75</v>
      </c>
      <c r="P4" s="197">
        <v>2</v>
      </c>
      <c r="Q4" s="197">
        <v>3</v>
      </c>
    </row>
    <row r="5" spans="2:17" x14ac:dyDescent="0.3">
      <c r="G5" s="196">
        <v>1.25</v>
      </c>
      <c r="H5" s="197">
        <v>1</v>
      </c>
      <c r="I5" s="197">
        <v>1.25</v>
      </c>
      <c r="J5" s="197">
        <v>1.25</v>
      </c>
      <c r="K5" s="197">
        <v>1.5</v>
      </c>
      <c r="L5" s="197">
        <v>1.5</v>
      </c>
      <c r="M5" s="197">
        <v>1.75</v>
      </c>
      <c r="N5" s="197">
        <v>1.75</v>
      </c>
      <c r="O5" s="197">
        <v>2</v>
      </c>
      <c r="P5" s="197">
        <v>2</v>
      </c>
      <c r="Q5" s="197">
        <v>3</v>
      </c>
    </row>
    <row r="6" spans="2:17" x14ac:dyDescent="0.3">
      <c r="G6" s="196">
        <v>1.5</v>
      </c>
      <c r="H6" s="197">
        <v>1.25</v>
      </c>
      <c r="I6" s="197">
        <v>1.25</v>
      </c>
      <c r="J6" s="197">
        <v>1.5</v>
      </c>
      <c r="K6" s="197">
        <v>1.5</v>
      </c>
      <c r="L6" s="197">
        <v>1.75</v>
      </c>
      <c r="M6" s="197">
        <v>1.75</v>
      </c>
      <c r="N6" s="197">
        <v>2</v>
      </c>
      <c r="O6" s="197">
        <v>2</v>
      </c>
      <c r="P6" s="197">
        <v>2.25</v>
      </c>
      <c r="Q6" s="197">
        <v>5</v>
      </c>
    </row>
    <row r="7" spans="2:17" x14ac:dyDescent="0.3">
      <c r="G7" s="196">
        <v>1.75</v>
      </c>
      <c r="H7" s="197">
        <v>1.25</v>
      </c>
      <c r="I7" s="197">
        <v>1.5</v>
      </c>
      <c r="J7" s="197">
        <v>1.5</v>
      </c>
      <c r="K7" s="197">
        <v>1.75</v>
      </c>
      <c r="L7" s="197">
        <v>1.75</v>
      </c>
      <c r="M7" s="197">
        <v>2</v>
      </c>
      <c r="N7" s="197">
        <v>2</v>
      </c>
      <c r="O7" s="197">
        <v>2.25</v>
      </c>
      <c r="P7" s="197">
        <v>2.25</v>
      </c>
      <c r="Q7" s="197">
        <v>5</v>
      </c>
    </row>
    <row r="8" spans="2:17" x14ac:dyDescent="0.3">
      <c r="G8" s="196">
        <v>2</v>
      </c>
      <c r="H8" s="197">
        <v>1.5</v>
      </c>
      <c r="I8" s="197">
        <v>1.5</v>
      </c>
      <c r="J8" s="197">
        <v>1.75</v>
      </c>
      <c r="K8" s="197">
        <v>1.75</v>
      </c>
      <c r="L8" s="197">
        <v>2</v>
      </c>
      <c r="M8" s="197">
        <v>2</v>
      </c>
      <c r="N8" s="197">
        <v>2.25</v>
      </c>
      <c r="O8" s="197">
        <v>2.25</v>
      </c>
      <c r="P8" s="197">
        <v>2.5</v>
      </c>
      <c r="Q8" s="197">
        <v>5</v>
      </c>
    </row>
    <row r="9" spans="2:17" x14ac:dyDescent="0.3">
      <c r="G9" s="196">
        <v>2.25</v>
      </c>
      <c r="H9" s="197">
        <v>1.5</v>
      </c>
      <c r="I9" s="197">
        <v>1.75</v>
      </c>
      <c r="J9" s="197">
        <v>1.75</v>
      </c>
      <c r="K9" s="197">
        <v>2</v>
      </c>
      <c r="L9" s="197">
        <v>2</v>
      </c>
      <c r="M9" s="197">
        <v>2.25</v>
      </c>
      <c r="N9" s="197">
        <v>2.25</v>
      </c>
      <c r="O9" s="197">
        <v>2.5</v>
      </c>
      <c r="P9" s="197">
        <v>2.5</v>
      </c>
      <c r="Q9" s="197">
        <v>5</v>
      </c>
    </row>
    <row r="10" spans="2:17" x14ac:dyDescent="0.3">
      <c r="G10" s="196">
        <v>2.5</v>
      </c>
      <c r="H10" s="201">
        <v>1.75</v>
      </c>
      <c r="I10" s="197">
        <v>1.75</v>
      </c>
      <c r="J10" s="197">
        <v>2</v>
      </c>
      <c r="K10" s="197">
        <v>2</v>
      </c>
      <c r="L10" s="197">
        <v>2.25</v>
      </c>
      <c r="M10" s="197">
        <v>2.25</v>
      </c>
      <c r="N10" s="197">
        <v>2.5</v>
      </c>
      <c r="O10" s="197">
        <v>2.5</v>
      </c>
      <c r="P10" s="197">
        <v>2.75</v>
      </c>
      <c r="Q10" s="197">
        <v>5</v>
      </c>
    </row>
    <row r="11" spans="2:17" x14ac:dyDescent="0.3">
      <c r="G11" s="196">
        <v>2.75</v>
      </c>
      <c r="H11" s="201">
        <v>1.75</v>
      </c>
      <c r="I11" s="197">
        <v>2</v>
      </c>
      <c r="J11" s="197">
        <v>2</v>
      </c>
      <c r="K11" s="197">
        <v>2.25</v>
      </c>
      <c r="L11" s="197">
        <v>2.25</v>
      </c>
      <c r="M11" s="197">
        <v>2.5</v>
      </c>
      <c r="N11" s="197">
        <v>2.5</v>
      </c>
      <c r="O11" s="197">
        <v>2.75</v>
      </c>
      <c r="P11" s="197">
        <v>2.75</v>
      </c>
      <c r="Q11" s="197">
        <v>5</v>
      </c>
    </row>
    <row r="12" spans="2:17" x14ac:dyDescent="0.3">
      <c r="G12" s="196">
        <v>3</v>
      </c>
      <c r="H12" s="197">
        <v>2</v>
      </c>
      <c r="I12" s="197">
        <v>2</v>
      </c>
      <c r="J12" s="197">
        <v>2.25</v>
      </c>
      <c r="K12" s="197">
        <v>2.25</v>
      </c>
      <c r="L12" s="197">
        <v>2.5</v>
      </c>
      <c r="M12" s="197">
        <v>2.5</v>
      </c>
      <c r="N12" s="197">
        <v>2.75</v>
      </c>
      <c r="O12" s="197">
        <v>2.75</v>
      </c>
      <c r="P12" s="197">
        <v>3</v>
      </c>
      <c r="Q12" s="197">
        <v>5</v>
      </c>
    </row>
    <row r="13" spans="2:17" x14ac:dyDescent="0.3">
      <c r="G13" s="196">
        <v>5</v>
      </c>
      <c r="H13" s="197">
        <v>3</v>
      </c>
      <c r="I13" s="197">
        <v>3</v>
      </c>
      <c r="J13" s="197">
        <v>5</v>
      </c>
      <c r="K13" s="197">
        <v>5</v>
      </c>
      <c r="L13" s="197">
        <v>5</v>
      </c>
      <c r="M13" s="197">
        <v>5</v>
      </c>
      <c r="N13" s="197">
        <v>5</v>
      </c>
      <c r="O13" s="197">
        <v>5</v>
      </c>
      <c r="P13" s="197">
        <v>5</v>
      </c>
      <c r="Q13" s="197">
        <v>5</v>
      </c>
    </row>
  </sheetData>
  <sheetProtection algorithmName="SHA-512" hashValue="7me4isydhOMSLv9rvB5isCANC9k0jnaa10Df0LVsIS2KyBjmRr3vDVyxO2wj08kUwHSZiX45SRvUT97e6LY9MQ==" saltValue="uZSpaV0DIFLbxIpo9IZhow==" spinCount="100000" sheet="1" objects="1" scenarios="1" selectLockedCells="1" selectUn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4D4F6-9DD1-41F8-B358-633A90FD1EA5}">
  <dimension ref="B2:N29"/>
  <sheetViews>
    <sheetView showGridLines="0" tabSelected="1" workbookViewId="0">
      <selection activeCell="C16" sqref="C16:E16"/>
    </sheetView>
  </sheetViews>
  <sheetFormatPr defaultRowHeight="14.4" x14ac:dyDescent="0.3"/>
  <cols>
    <col min="1" max="1" width="8.88671875" style="1" customWidth="1"/>
    <col min="2" max="2" width="15.88671875" style="1" bestFit="1" customWidth="1"/>
    <col min="3" max="3" width="8.88671875" style="1" customWidth="1"/>
    <col min="4" max="7" width="8.88671875" style="1"/>
    <col min="8" max="8" width="13.88671875" style="1" customWidth="1"/>
    <col min="9" max="9" width="24" style="1" bestFit="1" customWidth="1"/>
    <col min="10" max="10" width="12.6640625" style="1" customWidth="1"/>
    <col min="11" max="11" width="12" style="1" customWidth="1"/>
    <col min="12" max="12" width="13.44140625" style="1" customWidth="1"/>
    <col min="13" max="13" width="13.77734375" style="1" customWidth="1"/>
    <col min="14" max="14" width="15.6640625" style="1" customWidth="1"/>
    <col min="15" max="16384" width="8.88671875" style="1"/>
  </cols>
  <sheetData>
    <row r="2" spans="2:14" ht="24" thickBot="1" x14ac:dyDescent="0.5">
      <c r="C2" s="23" t="s">
        <v>41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18"/>
    </row>
    <row r="3" spans="2:14" ht="31.8" thickBot="1" x14ac:dyDescent="0.35">
      <c r="C3" s="34" t="s">
        <v>47</v>
      </c>
      <c r="D3" s="35"/>
      <c r="E3" s="35"/>
      <c r="F3" s="35"/>
      <c r="G3" s="35"/>
      <c r="H3" s="35"/>
      <c r="I3" s="2" t="s">
        <v>48</v>
      </c>
      <c r="J3" s="36" t="s">
        <v>49</v>
      </c>
      <c r="K3" s="37"/>
      <c r="L3" s="37"/>
      <c r="M3" s="38"/>
    </row>
    <row r="4" spans="2:14" ht="55.8" thickBot="1" x14ac:dyDescent="0.35">
      <c r="B4" s="3"/>
      <c r="C4" s="4" t="s">
        <v>55</v>
      </c>
      <c r="D4" s="5" t="s">
        <v>56</v>
      </c>
      <c r="E4" s="6" t="s">
        <v>57</v>
      </c>
      <c r="F4" s="5" t="s">
        <v>58</v>
      </c>
      <c r="G4" s="5" t="s">
        <v>50</v>
      </c>
      <c r="H4" s="5" t="s">
        <v>62</v>
      </c>
      <c r="I4" s="2" t="s">
        <v>51</v>
      </c>
      <c r="J4" s="7" t="s">
        <v>59</v>
      </c>
      <c r="K4" s="8" t="s">
        <v>52</v>
      </c>
      <c r="L4" s="8" t="s">
        <v>63</v>
      </c>
      <c r="M4" s="19" t="s">
        <v>64</v>
      </c>
    </row>
    <row r="5" spans="2:14" ht="18" thickBot="1" x14ac:dyDescent="0.35">
      <c r="B5" s="9" t="s">
        <v>53</v>
      </c>
      <c r="C5" s="10">
        <v>50</v>
      </c>
      <c r="D5" s="11" t="s">
        <v>33</v>
      </c>
      <c r="E5" s="12">
        <v>100</v>
      </c>
      <c r="F5" s="11" t="s">
        <v>33</v>
      </c>
      <c r="G5" s="11" t="s">
        <v>33</v>
      </c>
      <c r="H5" s="11" t="s">
        <v>33</v>
      </c>
      <c r="I5" s="13">
        <v>100</v>
      </c>
      <c r="J5" s="14" t="s">
        <v>33</v>
      </c>
      <c r="K5" s="15" t="s">
        <v>33</v>
      </c>
      <c r="L5" s="16">
        <v>35</v>
      </c>
      <c r="M5" s="22">
        <v>10</v>
      </c>
    </row>
    <row r="6" spans="2:14" ht="21.6" thickBot="1" x14ac:dyDescent="0.35">
      <c r="B6" s="17" t="s">
        <v>54</v>
      </c>
      <c r="C6" s="219"/>
      <c r="D6" s="220"/>
      <c r="E6" s="220"/>
      <c r="F6" s="220"/>
      <c r="G6" s="220"/>
      <c r="H6" s="220"/>
      <c r="I6" s="221"/>
      <c r="J6" s="219"/>
      <c r="K6" s="220"/>
      <c r="L6" s="220"/>
      <c r="M6" s="222"/>
    </row>
    <row r="9" spans="2:14" x14ac:dyDescent="0.3">
      <c r="C9" s="28" t="s">
        <v>75</v>
      </c>
      <c r="D9" s="28"/>
      <c r="E9" s="28"/>
    </row>
    <row r="10" spans="2:14" ht="24" thickBot="1" x14ac:dyDescent="0.5">
      <c r="C10" s="29"/>
      <c r="D10" s="29"/>
      <c r="E10" s="29"/>
      <c r="F10" s="21"/>
      <c r="G10" s="18"/>
      <c r="H10" s="18"/>
      <c r="I10" s="18"/>
    </row>
    <row r="11" spans="2:14" ht="36.6" customHeight="1" thickBot="1" x14ac:dyDescent="0.35">
      <c r="B11" s="20" t="s">
        <v>54</v>
      </c>
      <c r="C11" s="223"/>
      <c r="D11" s="224"/>
      <c r="E11" s="225"/>
      <c r="H11" s="24" t="s">
        <v>60</v>
      </c>
      <c r="I11" s="25"/>
      <c r="J11" s="26">
        <f>'DATA 3'!C4</f>
        <v>5</v>
      </c>
      <c r="K11" s="27"/>
    </row>
    <row r="12" spans="2:14" ht="21.6" customHeight="1" x14ac:dyDescent="0.3">
      <c r="M12" s="203"/>
    </row>
    <row r="13" spans="2:14" ht="14.4" customHeight="1" x14ac:dyDescent="0.3"/>
    <row r="14" spans="2:14" x14ac:dyDescent="0.3">
      <c r="C14" s="28" t="s">
        <v>76</v>
      </c>
      <c r="D14" s="28"/>
      <c r="E14" s="28"/>
    </row>
    <row r="15" spans="2:14" ht="15" thickBot="1" x14ac:dyDescent="0.35">
      <c r="C15" s="29"/>
      <c r="D15" s="29"/>
      <c r="E15" s="29"/>
    </row>
    <row r="16" spans="2:14" ht="36" customHeight="1" thickBot="1" x14ac:dyDescent="0.35">
      <c r="B16" s="20" t="s">
        <v>54</v>
      </c>
      <c r="C16" s="223"/>
      <c r="D16" s="224"/>
      <c r="E16" s="225"/>
      <c r="H16" s="30" t="s">
        <v>43</v>
      </c>
      <c r="I16" s="31"/>
      <c r="J16" s="32">
        <f>'DATA 3'!D4</f>
        <v>5</v>
      </c>
      <c r="K16" s="33"/>
    </row>
    <row r="17" spans="8:13" ht="18" customHeight="1" x14ac:dyDescent="0.3">
      <c r="M17" s="203"/>
    </row>
    <row r="18" spans="8:13" ht="21.6" customHeight="1" thickBot="1" x14ac:dyDescent="0.35">
      <c r="M18" s="203"/>
    </row>
    <row r="19" spans="8:13" ht="14.4" customHeight="1" x14ac:dyDescent="0.3">
      <c r="H19" s="204" t="s">
        <v>61</v>
      </c>
      <c r="I19" s="205"/>
      <c r="J19" s="206"/>
      <c r="K19" s="207">
        <f>'DATA 3'!E4</f>
        <v>5</v>
      </c>
      <c r="L19" s="208"/>
    </row>
    <row r="20" spans="8:13" ht="14.4" customHeight="1" x14ac:dyDescent="0.3">
      <c r="H20" s="209"/>
      <c r="I20" s="210"/>
      <c r="J20" s="211"/>
      <c r="K20" s="212"/>
      <c r="L20" s="213"/>
    </row>
    <row r="21" spans="8:13" ht="15" customHeight="1" thickBot="1" x14ac:dyDescent="0.35">
      <c r="H21" s="214"/>
      <c r="I21" s="215"/>
      <c r="J21" s="216"/>
      <c r="K21" s="217"/>
      <c r="L21" s="218"/>
    </row>
    <row r="29" spans="8:13" ht="18" customHeight="1" x14ac:dyDescent="0.3"/>
  </sheetData>
  <sheetProtection algorithmName="SHA-512" hashValue="f9EHdwScNUCAFVGd8HiL+Gauwjf/Ot2l3M0f7CqQPwVX8/qN0c7u51AbPMyjfcEfa7fGOVgTtg6uTI16X9cdtA==" saltValue="wc4X+wbWBzUKuN0cneWoQQ==" spinCount="100000" sheet="1" objects="1" scenarios="1" selectLockedCells="1"/>
  <mergeCells count="13">
    <mergeCell ref="H19:J21"/>
    <mergeCell ref="K19:L21"/>
    <mergeCell ref="C2:M2"/>
    <mergeCell ref="H11:I11"/>
    <mergeCell ref="J11:K11"/>
    <mergeCell ref="C14:E15"/>
    <mergeCell ref="C16:E16"/>
    <mergeCell ref="H16:I16"/>
    <mergeCell ref="J16:K16"/>
    <mergeCell ref="C3:H3"/>
    <mergeCell ref="C11:E11"/>
    <mergeCell ref="C9:E10"/>
    <mergeCell ref="J3:M3"/>
  </mergeCells>
  <conditionalFormatting sqref="J11 J16 M17:M18">
    <cfRule type="cellIs" dxfId="1" priority="1" operator="greaterThan">
      <formula>3</formula>
    </cfRule>
  </conditionalFormatting>
  <conditionalFormatting sqref="M12 K19">
    <cfRule type="cellIs" dxfId="0" priority="6" operator="greaterThan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DATA 1</vt:lpstr>
      <vt:lpstr>DATA 2</vt:lpstr>
      <vt:lpstr>DATA 3</vt:lpstr>
      <vt:lpstr>GRADE CALCULATOR</vt:lpstr>
      <vt:lpstr>equiv</vt:lpstr>
      <vt:lpstr>FINPT</vt:lpstr>
      <vt:lpstr>FINWW</vt:lpstr>
      <vt:lpstr>FPT</vt:lpstr>
      <vt:lpstr>FR</vt:lpstr>
      <vt:lpstr>FWW</vt:lpstr>
      <vt:lpstr>MTPT</vt:lpstr>
      <vt:lpstr>MTR</vt:lpstr>
      <vt:lpstr>MTWW</vt:lpstr>
      <vt:lpstr>PG</vt:lpstr>
      <vt:lpstr>'DATA 1'!Print_Area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Rondera</dc:creator>
  <cp:lastModifiedBy>CLINT R. MOHAMMED</cp:lastModifiedBy>
  <cp:lastPrinted>2019-07-12T04:33:12Z</cp:lastPrinted>
  <dcterms:created xsi:type="dcterms:W3CDTF">2019-05-05T08:58:15Z</dcterms:created>
  <dcterms:modified xsi:type="dcterms:W3CDTF">2026-02-21T10:22:41Z</dcterms:modified>
</cp:coreProperties>
</file>